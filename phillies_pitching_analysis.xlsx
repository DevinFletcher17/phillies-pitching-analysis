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vin\Desktop\phillies-pitching-analysis-2025\"/>
    </mc:Choice>
  </mc:AlternateContent>
  <xr:revisionPtr revIDLastSave="0" documentId="13_ncr:1_{0E216C53-25EE-4FE4-A6EC-526281FD380E}" xr6:coauthVersionLast="47" xr6:coauthVersionMax="47" xr10:uidLastSave="{00000000-0000-0000-0000-000000000000}"/>
  <bookViews>
    <workbookView xWindow="-120" yWindow="-120" windowWidth="20730" windowHeight="11040" xr2:uid="{2A6D014C-7B40-46EC-8443-B01E9B6EE384}"/>
  </bookViews>
  <sheets>
    <sheet name="Sheet1" sheetId="1" r:id="rId1"/>
    <sheet name="Sheet3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D3" i="1" l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2" i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2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2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2" i="1"/>
</calcChain>
</file>

<file path=xl/sharedStrings.xml><?xml version="1.0" encoding="utf-8"?>
<sst xmlns="http://schemas.openxmlformats.org/spreadsheetml/2006/main" count="117" uniqueCount="59">
  <si>
    <t>#</t>
  </si>
  <si>
    <t>Name</t>
  </si>
  <si>
    <t>Team</t>
  </si>
  <si>
    <t>W</t>
  </si>
  <si>
    <t>L</t>
  </si>
  <si>
    <t>ERA</t>
  </si>
  <si>
    <t>G</t>
  </si>
  <si>
    <t>GS</t>
  </si>
  <si>
    <t>QS</t>
  </si>
  <si>
    <t>CG</t>
  </si>
  <si>
    <t>ShO</t>
  </si>
  <si>
    <t>SV</t>
  </si>
  <si>
    <t>HLD</t>
  </si>
  <si>
    <t>BS</t>
  </si>
  <si>
    <t>IP</t>
  </si>
  <si>
    <t>TBF</t>
  </si>
  <si>
    <t>H</t>
  </si>
  <si>
    <t>R</t>
  </si>
  <si>
    <t>ER</t>
  </si>
  <si>
    <t>HR</t>
  </si>
  <si>
    <t>BB</t>
  </si>
  <si>
    <t>IBB</t>
  </si>
  <si>
    <t>HBP</t>
  </si>
  <si>
    <t>WP</t>
  </si>
  <si>
    <t>BK</t>
  </si>
  <si>
    <t>SO</t>
  </si>
  <si>
    <t>Jesús Luzardo</t>
  </si>
  <si>
    <t>PHI</t>
  </si>
  <si>
    <t>Cristopher Sánchez</t>
  </si>
  <si>
    <t>Zack Wheeler</t>
  </si>
  <si>
    <t>Ranger Suarez</t>
  </si>
  <si>
    <t>Aaron Nola</t>
  </si>
  <si>
    <t>Taijuan Walker</t>
  </si>
  <si>
    <t>Matt Strahm</t>
  </si>
  <si>
    <t>Orion Kerkering</t>
  </si>
  <si>
    <t>Tanner Banks</t>
  </si>
  <si>
    <t>Jordan Romano</t>
  </si>
  <si>
    <t>Joe Ross</t>
  </si>
  <si>
    <t>José Alvarado</t>
  </si>
  <si>
    <t>Jhoan Duran</t>
  </si>
  <si>
    <t>Max Lazar</t>
  </si>
  <si>
    <t>Carlos Hernández</t>
  </si>
  <si>
    <t>David Robertson</t>
  </si>
  <si>
    <t>Mick Abel</t>
  </si>
  <si>
    <t>Seth Johnson</t>
  </si>
  <si>
    <t>Daniel Robert</t>
  </si>
  <si>
    <t>José Ruiz</t>
  </si>
  <si>
    <t>Lou Trivino</t>
  </si>
  <si>
    <t>Walker Buehler</t>
  </si>
  <si>
    <t>Alan Rangel</t>
  </si>
  <si>
    <t>Tim Mayza</t>
  </si>
  <si>
    <t>Michael Mercado</t>
  </si>
  <si>
    <t>Nolan Hoffman</t>
  </si>
  <si>
    <t>Weston Wilson</t>
  </si>
  <si>
    <t>Brett de Geus</t>
  </si>
  <si>
    <t>K%</t>
  </si>
  <si>
    <t>BB%</t>
  </si>
  <si>
    <t>HR/9</t>
  </si>
  <si>
    <t>WHIP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</si>
</sst>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FFFFFF"/>
      <name val="Segoe UI"/>
      <family val="2"/>
    </font>
    <font>
      <sz val="9"/>
      <color rgb="FF000000"/>
      <name val="Segoe UI"/>
      <family val="2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</fills>
  <borders count="2">
    <border>
      <left/>
      <right/>
      <top/>
      <bottom/>
      <diagonal/>
    </border>
    <border>
      <left style="medium">
        <color rgb="FFEEEEEE"/>
      </left>
      <right style="medium">
        <color rgb="FFEEEEEE"/>
      </right>
      <top style="medium">
        <color rgb="FFEEEEEE"/>
      </top>
      <bottom style="medium">
        <color rgb="FFEEEEEE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2" fillId="3" borderId="0" xfId="0" applyFont="1" applyFill="1" applyAlignment="1">
      <alignment horizontal="center" wrapText="1"/>
    </xf>
    <xf numFmtId="0" fontId="2" fillId="3" borderId="0" xfId="0" applyFont="1" applyFill="1" applyAlignment="1">
      <alignment horizontal="left" wrapText="1"/>
    </xf>
    <xf numFmtId="0" fontId="2" fillId="3" borderId="0" xfId="0" applyFont="1" applyFill="1" applyAlignment="1">
      <alignment horizontal="right" wrapText="1"/>
    </xf>
    <xf numFmtId="0" fontId="3" fillId="2" borderId="1" xfId="0" applyFont="1" applyFill="1" applyBorder="1"/>
    <xf numFmtId="0" fontId="4" fillId="2" borderId="1" xfId="2" applyFill="1" applyBorder="1" applyAlignment="1">
      <alignment horizontal="left"/>
    </xf>
    <xf numFmtId="0" fontId="3" fillId="2" borderId="1" xfId="0" applyFont="1" applyFill="1" applyBorder="1" applyAlignment="1">
      <alignment horizontal="right"/>
    </xf>
    <xf numFmtId="9" fontId="0" fillId="0" borderId="0" xfId="1" applyFont="1" applyAlignment="1"/>
    <xf numFmtId="2" fontId="0" fillId="0" borderId="0" xfId="0" applyNumberFormat="1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K% by Pitcher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3369313210848644"/>
          <c:y val="0.19486111111111112"/>
          <c:w val="0.72746653543307083"/>
          <c:h val="0.7212580198308544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Sheet1!$AA$1</c:f>
              <c:strCache>
                <c:ptCount val="1"/>
                <c:pt idx="0">
                  <c:v>K%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Sheet1!$B$2:$B$29</c:f>
              <c:strCache>
                <c:ptCount val="28"/>
                <c:pt idx="0">
                  <c:v>Jesús Luzardo</c:v>
                </c:pt>
                <c:pt idx="1">
                  <c:v>Cristopher Sánchez</c:v>
                </c:pt>
                <c:pt idx="2">
                  <c:v>Zack Wheeler</c:v>
                </c:pt>
                <c:pt idx="3">
                  <c:v>Ranger Suarez</c:v>
                </c:pt>
                <c:pt idx="4">
                  <c:v>Aaron Nola</c:v>
                </c:pt>
                <c:pt idx="5">
                  <c:v>Taijuan Walker</c:v>
                </c:pt>
                <c:pt idx="6">
                  <c:v>Matt Strahm</c:v>
                </c:pt>
                <c:pt idx="7">
                  <c:v>Orion Kerkering</c:v>
                </c:pt>
                <c:pt idx="8">
                  <c:v>Tanner Banks</c:v>
                </c:pt>
                <c:pt idx="9">
                  <c:v>Jordan Romano</c:v>
                </c:pt>
                <c:pt idx="10">
                  <c:v>Joe Ross</c:v>
                </c:pt>
                <c:pt idx="11">
                  <c:v>José Alvarado</c:v>
                </c:pt>
                <c:pt idx="12">
                  <c:v>Jhoan Duran</c:v>
                </c:pt>
                <c:pt idx="13">
                  <c:v>Max Lazar</c:v>
                </c:pt>
                <c:pt idx="14">
                  <c:v>Carlos Hernández</c:v>
                </c:pt>
                <c:pt idx="15">
                  <c:v>David Robertson</c:v>
                </c:pt>
                <c:pt idx="16">
                  <c:v>Mick Abel</c:v>
                </c:pt>
                <c:pt idx="17">
                  <c:v>Seth Johnson</c:v>
                </c:pt>
                <c:pt idx="18">
                  <c:v>Daniel Robert</c:v>
                </c:pt>
                <c:pt idx="19">
                  <c:v>José Ruiz</c:v>
                </c:pt>
                <c:pt idx="20">
                  <c:v>Lou Trivino</c:v>
                </c:pt>
                <c:pt idx="21">
                  <c:v>Walker Buehler</c:v>
                </c:pt>
                <c:pt idx="22">
                  <c:v>Alan Rangel</c:v>
                </c:pt>
                <c:pt idx="23">
                  <c:v>Tim Mayza</c:v>
                </c:pt>
                <c:pt idx="24">
                  <c:v>Michael Mercado</c:v>
                </c:pt>
                <c:pt idx="25">
                  <c:v>Nolan Hoffman</c:v>
                </c:pt>
                <c:pt idx="26">
                  <c:v>Weston Wilson</c:v>
                </c:pt>
                <c:pt idx="27">
                  <c:v>Brett de Geus</c:v>
                </c:pt>
              </c:strCache>
            </c:strRef>
          </c:cat>
          <c:val>
            <c:numRef>
              <c:f>Sheet1!$AA$2:$AA$29</c:f>
              <c:numCache>
                <c:formatCode>0%</c:formatCode>
                <c:ptCount val="28"/>
                <c:pt idx="0">
                  <c:v>0.28496042216358841</c:v>
                </c:pt>
                <c:pt idx="1">
                  <c:v>0.26270136307311026</c:v>
                </c:pt>
                <c:pt idx="2">
                  <c:v>0.33333333333333331</c:v>
                </c:pt>
                <c:pt idx="3">
                  <c:v>0.23195084485407066</c:v>
                </c:pt>
                <c:pt idx="4">
                  <c:v>0.24009900990099009</c:v>
                </c:pt>
                <c:pt idx="5">
                  <c:v>0.15985130111524162</c:v>
                </c:pt>
                <c:pt idx="6">
                  <c:v>0.2734375</c:v>
                </c:pt>
                <c:pt idx="7">
                  <c:v>0.24436090225563908</c:v>
                </c:pt>
                <c:pt idx="8">
                  <c:v>0.22846441947565543</c:v>
                </c:pt>
                <c:pt idx="9">
                  <c:v>0.25133689839572193</c:v>
                </c:pt>
                <c:pt idx="10">
                  <c:v>0.17105263157894737</c:v>
                </c:pt>
                <c:pt idx="11">
                  <c:v>0.2807017543859649</c:v>
                </c:pt>
                <c:pt idx="12">
                  <c:v>0.33333333333333331</c:v>
                </c:pt>
                <c:pt idx="13">
                  <c:v>0.15294117647058825</c:v>
                </c:pt>
                <c:pt idx="14">
                  <c:v>0.18699186991869918</c:v>
                </c:pt>
                <c:pt idx="15">
                  <c:v>0.28205128205128205</c:v>
                </c:pt>
                <c:pt idx="16">
                  <c:v>0.19444444444444445</c:v>
                </c:pt>
                <c:pt idx="17">
                  <c:v>0.31481481481481483</c:v>
                </c:pt>
                <c:pt idx="18">
                  <c:v>0.25423728813559321</c:v>
                </c:pt>
                <c:pt idx="19">
                  <c:v>0.17647058823529413</c:v>
                </c:pt>
                <c:pt idx="20">
                  <c:v>0.21052631578947367</c:v>
                </c:pt>
                <c:pt idx="21">
                  <c:v>0.14035087719298245</c:v>
                </c:pt>
                <c:pt idx="22">
                  <c:v>0.17391304347826086</c:v>
                </c:pt>
                <c:pt idx="23">
                  <c:v>0.20588235294117646</c:v>
                </c:pt>
                <c:pt idx="24">
                  <c:v>0.2</c:v>
                </c:pt>
                <c:pt idx="25">
                  <c:v>0.2857142857142857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41-4F99-A869-450AACB2BF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43425056"/>
        <c:axId val="1109913759"/>
      </c:barChart>
      <c:catAx>
        <c:axId val="19434250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9913759"/>
        <c:crosses val="autoZero"/>
        <c:auto val="1"/>
        <c:lblAlgn val="ctr"/>
        <c:lblOffset val="100"/>
        <c:noMultiLvlLbl val="0"/>
      </c:catAx>
      <c:valAx>
        <c:axId val="1109913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3425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Phillies Pitchers: ERA vs WHIP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ERA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Sheet3!$A$2:$A$29</c:f>
              <c:strCache>
                <c:ptCount val="28"/>
                <c:pt idx="0">
                  <c:v>Jesús Luzardo</c:v>
                </c:pt>
                <c:pt idx="1">
                  <c:v>Cristopher Sánchez</c:v>
                </c:pt>
                <c:pt idx="2">
                  <c:v>Zack Wheeler</c:v>
                </c:pt>
                <c:pt idx="3">
                  <c:v>Ranger Suarez</c:v>
                </c:pt>
                <c:pt idx="4">
                  <c:v>Aaron Nola</c:v>
                </c:pt>
                <c:pt idx="5">
                  <c:v>Taijuan Walker</c:v>
                </c:pt>
                <c:pt idx="6">
                  <c:v>Matt Strahm</c:v>
                </c:pt>
                <c:pt idx="7">
                  <c:v>Orion Kerkering</c:v>
                </c:pt>
                <c:pt idx="8">
                  <c:v>Tanner Banks</c:v>
                </c:pt>
                <c:pt idx="9">
                  <c:v>Jordan Romano</c:v>
                </c:pt>
                <c:pt idx="10">
                  <c:v>Joe Ross</c:v>
                </c:pt>
                <c:pt idx="11">
                  <c:v>José Alvarado</c:v>
                </c:pt>
                <c:pt idx="12">
                  <c:v>Jhoan Duran</c:v>
                </c:pt>
                <c:pt idx="13">
                  <c:v>Max Lazar</c:v>
                </c:pt>
                <c:pt idx="14">
                  <c:v>Carlos Hernández</c:v>
                </c:pt>
                <c:pt idx="15">
                  <c:v>David Robertson</c:v>
                </c:pt>
                <c:pt idx="16">
                  <c:v>Mick Abel</c:v>
                </c:pt>
                <c:pt idx="17">
                  <c:v>Seth Johnson</c:v>
                </c:pt>
                <c:pt idx="18">
                  <c:v>Daniel Robert</c:v>
                </c:pt>
                <c:pt idx="19">
                  <c:v>José Ruiz</c:v>
                </c:pt>
                <c:pt idx="20">
                  <c:v>Lou Trivino</c:v>
                </c:pt>
                <c:pt idx="21">
                  <c:v>Walker Buehler</c:v>
                </c:pt>
                <c:pt idx="22">
                  <c:v>Alan Rangel</c:v>
                </c:pt>
                <c:pt idx="23">
                  <c:v>Tim Mayza</c:v>
                </c:pt>
                <c:pt idx="24">
                  <c:v>Michael Mercado</c:v>
                </c:pt>
                <c:pt idx="25">
                  <c:v>Nolan Hoffman</c:v>
                </c:pt>
                <c:pt idx="26">
                  <c:v>Weston Wilson</c:v>
                </c:pt>
                <c:pt idx="27">
                  <c:v>Brett de Geus</c:v>
                </c:pt>
              </c:strCache>
            </c:strRef>
          </c:cat>
          <c:val>
            <c:numRef>
              <c:f>Sheet3!$B$2:$B$29</c:f>
              <c:numCache>
                <c:formatCode>General</c:formatCode>
                <c:ptCount val="28"/>
                <c:pt idx="0">
                  <c:v>3.92</c:v>
                </c:pt>
                <c:pt idx="1">
                  <c:v>2.5</c:v>
                </c:pt>
                <c:pt idx="2">
                  <c:v>2.71</c:v>
                </c:pt>
                <c:pt idx="3">
                  <c:v>3.2</c:v>
                </c:pt>
                <c:pt idx="4">
                  <c:v>6.01</c:v>
                </c:pt>
                <c:pt idx="5">
                  <c:v>4.08</c:v>
                </c:pt>
                <c:pt idx="6">
                  <c:v>2.74</c:v>
                </c:pt>
                <c:pt idx="7">
                  <c:v>3.3</c:v>
                </c:pt>
                <c:pt idx="8">
                  <c:v>3.07</c:v>
                </c:pt>
                <c:pt idx="9">
                  <c:v>8.23</c:v>
                </c:pt>
                <c:pt idx="10">
                  <c:v>5.12</c:v>
                </c:pt>
                <c:pt idx="11">
                  <c:v>3.81</c:v>
                </c:pt>
                <c:pt idx="12">
                  <c:v>2.1800000000000002</c:v>
                </c:pt>
                <c:pt idx="13">
                  <c:v>4.79</c:v>
                </c:pt>
                <c:pt idx="14">
                  <c:v>5.26</c:v>
                </c:pt>
                <c:pt idx="15">
                  <c:v>4.08</c:v>
                </c:pt>
                <c:pt idx="16">
                  <c:v>5.04</c:v>
                </c:pt>
                <c:pt idx="17">
                  <c:v>4.26</c:v>
                </c:pt>
                <c:pt idx="18">
                  <c:v>4.1500000000000004</c:v>
                </c:pt>
                <c:pt idx="19">
                  <c:v>8.16</c:v>
                </c:pt>
                <c:pt idx="20">
                  <c:v>2</c:v>
                </c:pt>
                <c:pt idx="21">
                  <c:v>0.66</c:v>
                </c:pt>
                <c:pt idx="22">
                  <c:v>2.4500000000000002</c:v>
                </c:pt>
                <c:pt idx="23">
                  <c:v>4.91</c:v>
                </c:pt>
                <c:pt idx="24">
                  <c:v>15</c:v>
                </c:pt>
                <c:pt idx="25">
                  <c:v>27</c:v>
                </c:pt>
                <c:pt idx="26">
                  <c:v>0</c:v>
                </c:pt>
                <c:pt idx="27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B4-4D49-8F05-900913644B9B}"/>
            </c:ext>
          </c:extLst>
        </c:ser>
        <c:ser>
          <c:idx val="1"/>
          <c:order val="1"/>
          <c:tx>
            <c:strRef>
              <c:f>Sheet3!$C$1</c:f>
              <c:strCache>
                <c:ptCount val="1"/>
                <c:pt idx="0">
                  <c:v>WHIP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Sheet3!$A$2:$A$29</c:f>
              <c:strCache>
                <c:ptCount val="28"/>
                <c:pt idx="0">
                  <c:v>Jesús Luzardo</c:v>
                </c:pt>
                <c:pt idx="1">
                  <c:v>Cristopher Sánchez</c:v>
                </c:pt>
                <c:pt idx="2">
                  <c:v>Zack Wheeler</c:v>
                </c:pt>
                <c:pt idx="3">
                  <c:v>Ranger Suarez</c:v>
                </c:pt>
                <c:pt idx="4">
                  <c:v>Aaron Nola</c:v>
                </c:pt>
                <c:pt idx="5">
                  <c:v>Taijuan Walker</c:v>
                </c:pt>
                <c:pt idx="6">
                  <c:v>Matt Strahm</c:v>
                </c:pt>
                <c:pt idx="7">
                  <c:v>Orion Kerkering</c:v>
                </c:pt>
                <c:pt idx="8">
                  <c:v>Tanner Banks</c:v>
                </c:pt>
                <c:pt idx="9">
                  <c:v>Jordan Romano</c:v>
                </c:pt>
                <c:pt idx="10">
                  <c:v>Joe Ross</c:v>
                </c:pt>
                <c:pt idx="11">
                  <c:v>José Alvarado</c:v>
                </c:pt>
                <c:pt idx="12">
                  <c:v>Jhoan Duran</c:v>
                </c:pt>
                <c:pt idx="13">
                  <c:v>Max Lazar</c:v>
                </c:pt>
                <c:pt idx="14">
                  <c:v>Carlos Hernández</c:v>
                </c:pt>
                <c:pt idx="15">
                  <c:v>David Robertson</c:v>
                </c:pt>
                <c:pt idx="16">
                  <c:v>Mick Abel</c:v>
                </c:pt>
                <c:pt idx="17">
                  <c:v>Seth Johnson</c:v>
                </c:pt>
                <c:pt idx="18">
                  <c:v>Daniel Robert</c:v>
                </c:pt>
                <c:pt idx="19">
                  <c:v>José Ruiz</c:v>
                </c:pt>
                <c:pt idx="20">
                  <c:v>Lou Trivino</c:v>
                </c:pt>
                <c:pt idx="21">
                  <c:v>Walker Buehler</c:v>
                </c:pt>
                <c:pt idx="22">
                  <c:v>Alan Rangel</c:v>
                </c:pt>
                <c:pt idx="23">
                  <c:v>Tim Mayza</c:v>
                </c:pt>
                <c:pt idx="24">
                  <c:v>Michael Mercado</c:v>
                </c:pt>
                <c:pt idx="25">
                  <c:v>Nolan Hoffman</c:v>
                </c:pt>
                <c:pt idx="26">
                  <c:v>Weston Wilson</c:v>
                </c:pt>
                <c:pt idx="27">
                  <c:v>Brett de Geus</c:v>
                </c:pt>
              </c:strCache>
            </c:strRef>
          </c:cat>
          <c:val>
            <c:numRef>
              <c:f>Sheet3!$C$2:$C$29</c:f>
              <c:numCache>
                <c:formatCode>General</c:formatCode>
                <c:ptCount val="28"/>
                <c:pt idx="0">
                  <c:v>1.22</c:v>
                </c:pt>
                <c:pt idx="1">
                  <c:v>1.06</c:v>
                </c:pt>
                <c:pt idx="2">
                  <c:v>0.94</c:v>
                </c:pt>
                <c:pt idx="3">
                  <c:v>1.22</c:v>
                </c:pt>
                <c:pt idx="4">
                  <c:v>1.35</c:v>
                </c:pt>
                <c:pt idx="5">
                  <c:v>1.41</c:v>
                </c:pt>
                <c:pt idx="6">
                  <c:v>1.08</c:v>
                </c:pt>
                <c:pt idx="7">
                  <c:v>1.37</c:v>
                </c:pt>
                <c:pt idx="8">
                  <c:v>1.01</c:v>
                </c:pt>
                <c:pt idx="9">
                  <c:v>1.47</c:v>
                </c:pt>
                <c:pt idx="10">
                  <c:v>1.47</c:v>
                </c:pt>
                <c:pt idx="11">
                  <c:v>1.31</c:v>
                </c:pt>
                <c:pt idx="12">
                  <c:v>0.94</c:v>
                </c:pt>
                <c:pt idx="13">
                  <c:v>1.29</c:v>
                </c:pt>
                <c:pt idx="14">
                  <c:v>1.79</c:v>
                </c:pt>
                <c:pt idx="15">
                  <c:v>1.51</c:v>
                </c:pt>
                <c:pt idx="16">
                  <c:v>1.36</c:v>
                </c:pt>
                <c:pt idx="17">
                  <c:v>1.23</c:v>
                </c:pt>
                <c:pt idx="18">
                  <c:v>1.62</c:v>
                </c:pt>
                <c:pt idx="19">
                  <c:v>1.91</c:v>
                </c:pt>
                <c:pt idx="20">
                  <c:v>1.22</c:v>
                </c:pt>
                <c:pt idx="21">
                  <c:v>1.21</c:v>
                </c:pt>
                <c:pt idx="22">
                  <c:v>1.45</c:v>
                </c:pt>
                <c:pt idx="23">
                  <c:v>1.69</c:v>
                </c:pt>
                <c:pt idx="24">
                  <c:v>3.67</c:v>
                </c:pt>
                <c:pt idx="25">
                  <c:v>4</c:v>
                </c:pt>
                <c:pt idx="26">
                  <c:v>1</c:v>
                </c:pt>
                <c:pt idx="2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B4-4D49-8F05-900913644B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9913279"/>
        <c:axId val="1109912799"/>
      </c:barChart>
      <c:catAx>
        <c:axId val="1109913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9912799"/>
        <c:crosses val="autoZero"/>
        <c:auto val="1"/>
        <c:lblAlgn val="ctr"/>
        <c:lblOffset val="100"/>
        <c:noMultiLvlLbl val="0"/>
      </c:catAx>
      <c:valAx>
        <c:axId val="11099127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9913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Phillies Pitchers: ERA vs WHIP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ERA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Sheet3!$A$2:$A$29</c:f>
              <c:strCache>
                <c:ptCount val="28"/>
                <c:pt idx="0">
                  <c:v>Jesús Luzardo</c:v>
                </c:pt>
                <c:pt idx="1">
                  <c:v>Cristopher Sánchez</c:v>
                </c:pt>
                <c:pt idx="2">
                  <c:v>Zack Wheeler</c:v>
                </c:pt>
                <c:pt idx="3">
                  <c:v>Ranger Suarez</c:v>
                </c:pt>
                <c:pt idx="4">
                  <c:v>Aaron Nola</c:v>
                </c:pt>
                <c:pt idx="5">
                  <c:v>Taijuan Walker</c:v>
                </c:pt>
                <c:pt idx="6">
                  <c:v>Matt Strahm</c:v>
                </c:pt>
                <c:pt idx="7">
                  <c:v>Orion Kerkering</c:v>
                </c:pt>
                <c:pt idx="8">
                  <c:v>Tanner Banks</c:v>
                </c:pt>
                <c:pt idx="9">
                  <c:v>Jordan Romano</c:v>
                </c:pt>
                <c:pt idx="10">
                  <c:v>Joe Ross</c:v>
                </c:pt>
                <c:pt idx="11">
                  <c:v>José Alvarado</c:v>
                </c:pt>
                <c:pt idx="12">
                  <c:v>Jhoan Duran</c:v>
                </c:pt>
                <c:pt idx="13">
                  <c:v>Max Lazar</c:v>
                </c:pt>
                <c:pt idx="14">
                  <c:v>Carlos Hernández</c:v>
                </c:pt>
                <c:pt idx="15">
                  <c:v>David Robertson</c:v>
                </c:pt>
                <c:pt idx="16">
                  <c:v>Mick Abel</c:v>
                </c:pt>
                <c:pt idx="17">
                  <c:v>Seth Johnson</c:v>
                </c:pt>
                <c:pt idx="18">
                  <c:v>Daniel Robert</c:v>
                </c:pt>
                <c:pt idx="19">
                  <c:v>José Ruiz</c:v>
                </c:pt>
                <c:pt idx="20">
                  <c:v>Lou Trivino</c:v>
                </c:pt>
                <c:pt idx="21">
                  <c:v>Walker Buehler</c:v>
                </c:pt>
                <c:pt idx="22">
                  <c:v>Alan Rangel</c:v>
                </c:pt>
                <c:pt idx="23">
                  <c:v>Tim Mayza</c:v>
                </c:pt>
                <c:pt idx="24">
                  <c:v>Michael Mercado</c:v>
                </c:pt>
                <c:pt idx="25">
                  <c:v>Nolan Hoffman</c:v>
                </c:pt>
                <c:pt idx="26">
                  <c:v>Weston Wilson</c:v>
                </c:pt>
                <c:pt idx="27">
                  <c:v>Brett de Geus</c:v>
                </c:pt>
              </c:strCache>
            </c:strRef>
          </c:cat>
          <c:val>
            <c:numRef>
              <c:f>Sheet3!$B$2:$B$29</c:f>
              <c:numCache>
                <c:formatCode>General</c:formatCode>
                <c:ptCount val="28"/>
                <c:pt idx="0">
                  <c:v>3.92</c:v>
                </c:pt>
                <c:pt idx="1">
                  <c:v>2.5</c:v>
                </c:pt>
                <c:pt idx="2">
                  <c:v>2.71</c:v>
                </c:pt>
                <c:pt idx="3">
                  <c:v>3.2</c:v>
                </c:pt>
                <c:pt idx="4">
                  <c:v>6.01</c:v>
                </c:pt>
                <c:pt idx="5">
                  <c:v>4.08</c:v>
                </c:pt>
                <c:pt idx="6">
                  <c:v>2.74</c:v>
                </c:pt>
                <c:pt idx="7">
                  <c:v>3.3</c:v>
                </c:pt>
                <c:pt idx="8">
                  <c:v>3.07</c:v>
                </c:pt>
                <c:pt idx="9">
                  <c:v>8.23</c:v>
                </c:pt>
                <c:pt idx="10">
                  <c:v>5.12</c:v>
                </c:pt>
                <c:pt idx="11">
                  <c:v>3.81</c:v>
                </c:pt>
                <c:pt idx="12">
                  <c:v>2.1800000000000002</c:v>
                </c:pt>
                <c:pt idx="13">
                  <c:v>4.79</c:v>
                </c:pt>
                <c:pt idx="14">
                  <c:v>5.26</c:v>
                </c:pt>
                <c:pt idx="15">
                  <c:v>4.08</c:v>
                </c:pt>
                <c:pt idx="16">
                  <c:v>5.04</c:v>
                </c:pt>
                <c:pt idx="17">
                  <c:v>4.26</c:v>
                </c:pt>
                <c:pt idx="18">
                  <c:v>4.1500000000000004</c:v>
                </c:pt>
                <c:pt idx="19">
                  <c:v>8.16</c:v>
                </c:pt>
                <c:pt idx="20">
                  <c:v>2</c:v>
                </c:pt>
                <c:pt idx="21">
                  <c:v>0.66</c:v>
                </c:pt>
                <c:pt idx="22">
                  <c:v>2.4500000000000002</c:v>
                </c:pt>
                <c:pt idx="23">
                  <c:v>4.91</c:v>
                </c:pt>
                <c:pt idx="24">
                  <c:v>15</c:v>
                </c:pt>
                <c:pt idx="25">
                  <c:v>27</c:v>
                </c:pt>
                <c:pt idx="26">
                  <c:v>0</c:v>
                </c:pt>
                <c:pt idx="27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C1-4760-9A81-043A15CF171D}"/>
            </c:ext>
          </c:extLst>
        </c:ser>
        <c:ser>
          <c:idx val="1"/>
          <c:order val="1"/>
          <c:tx>
            <c:strRef>
              <c:f>Sheet3!$C$1</c:f>
              <c:strCache>
                <c:ptCount val="1"/>
                <c:pt idx="0">
                  <c:v>WHIP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Sheet3!$A$2:$A$29</c:f>
              <c:strCache>
                <c:ptCount val="28"/>
                <c:pt idx="0">
                  <c:v>Jesús Luzardo</c:v>
                </c:pt>
                <c:pt idx="1">
                  <c:v>Cristopher Sánchez</c:v>
                </c:pt>
                <c:pt idx="2">
                  <c:v>Zack Wheeler</c:v>
                </c:pt>
                <c:pt idx="3">
                  <c:v>Ranger Suarez</c:v>
                </c:pt>
                <c:pt idx="4">
                  <c:v>Aaron Nola</c:v>
                </c:pt>
                <c:pt idx="5">
                  <c:v>Taijuan Walker</c:v>
                </c:pt>
                <c:pt idx="6">
                  <c:v>Matt Strahm</c:v>
                </c:pt>
                <c:pt idx="7">
                  <c:v>Orion Kerkering</c:v>
                </c:pt>
                <c:pt idx="8">
                  <c:v>Tanner Banks</c:v>
                </c:pt>
                <c:pt idx="9">
                  <c:v>Jordan Romano</c:v>
                </c:pt>
                <c:pt idx="10">
                  <c:v>Joe Ross</c:v>
                </c:pt>
                <c:pt idx="11">
                  <c:v>José Alvarado</c:v>
                </c:pt>
                <c:pt idx="12">
                  <c:v>Jhoan Duran</c:v>
                </c:pt>
                <c:pt idx="13">
                  <c:v>Max Lazar</c:v>
                </c:pt>
                <c:pt idx="14">
                  <c:v>Carlos Hernández</c:v>
                </c:pt>
                <c:pt idx="15">
                  <c:v>David Robertson</c:v>
                </c:pt>
                <c:pt idx="16">
                  <c:v>Mick Abel</c:v>
                </c:pt>
                <c:pt idx="17">
                  <c:v>Seth Johnson</c:v>
                </c:pt>
                <c:pt idx="18">
                  <c:v>Daniel Robert</c:v>
                </c:pt>
                <c:pt idx="19">
                  <c:v>José Ruiz</c:v>
                </c:pt>
                <c:pt idx="20">
                  <c:v>Lou Trivino</c:v>
                </c:pt>
                <c:pt idx="21">
                  <c:v>Walker Buehler</c:v>
                </c:pt>
                <c:pt idx="22">
                  <c:v>Alan Rangel</c:v>
                </c:pt>
                <c:pt idx="23">
                  <c:v>Tim Mayza</c:v>
                </c:pt>
                <c:pt idx="24">
                  <c:v>Michael Mercado</c:v>
                </c:pt>
                <c:pt idx="25">
                  <c:v>Nolan Hoffman</c:v>
                </c:pt>
                <c:pt idx="26">
                  <c:v>Weston Wilson</c:v>
                </c:pt>
                <c:pt idx="27">
                  <c:v>Brett de Geus</c:v>
                </c:pt>
              </c:strCache>
            </c:strRef>
          </c:cat>
          <c:val>
            <c:numRef>
              <c:f>Sheet3!$C$2:$C$29</c:f>
              <c:numCache>
                <c:formatCode>General</c:formatCode>
                <c:ptCount val="28"/>
                <c:pt idx="0">
                  <c:v>1.22</c:v>
                </c:pt>
                <c:pt idx="1">
                  <c:v>1.06</c:v>
                </c:pt>
                <c:pt idx="2">
                  <c:v>0.94</c:v>
                </c:pt>
                <c:pt idx="3">
                  <c:v>1.22</c:v>
                </c:pt>
                <c:pt idx="4">
                  <c:v>1.35</c:v>
                </c:pt>
                <c:pt idx="5">
                  <c:v>1.41</c:v>
                </c:pt>
                <c:pt idx="6">
                  <c:v>1.08</c:v>
                </c:pt>
                <c:pt idx="7">
                  <c:v>1.37</c:v>
                </c:pt>
                <c:pt idx="8">
                  <c:v>1.01</c:v>
                </c:pt>
                <c:pt idx="9">
                  <c:v>1.47</c:v>
                </c:pt>
                <c:pt idx="10">
                  <c:v>1.47</c:v>
                </c:pt>
                <c:pt idx="11">
                  <c:v>1.31</c:v>
                </c:pt>
                <c:pt idx="12">
                  <c:v>0.94</c:v>
                </c:pt>
                <c:pt idx="13">
                  <c:v>1.29</c:v>
                </c:pt>
                <c:pt idx="14">
                  <c:v>1.79</c:v>
                </c:pt>
                <c:pt idx="15">
                  <c:v>1.51</c:v>
                </c:pt>
                <c:pt idx="16">
                  <c:v>1.36</c:v>
                </c:pt>
                <c:pt idx="17">
                  <c:v>1.23</c:v>
                </c:pt>
                <c:pt idx="18">
                  <c:v>1.62</c:v>
                </c:pt>
                <c:pt idx="19">
                  <c:v>1.91</c:v>
                </c:pt>
                <c:pt idx="20">
                  <c:v>1.22</c:v>
                </c:pt>
                <c:pt idx="21">
                  <c:v>1.21</c:v>
                </c:pt>
                <c:pt idx="22">
                  <c:v>1.45</c:v>
                </c:pt>
                <c:pt idx="23">
                  <c:v>1.69</c:v>
                </c:pt>
                <c:pt idx="24">
                  <c:v>3.67</c:v>
                </c:pt>
                <c:pt idx="25">
                  <c:v>4</c:v>
                </c:pt>
                <c:pt idx="26">
                  <c:v>1</c:v>
                </c:pt>
                <c:pt idx="2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C1-4760-9A81-043A15CF17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9913279"/>
        <c:axId val="1109912799"/>
      </c:barChart>
      <c:catAx>
        <c:axId val="1109913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9912799"/>
        <c:crosses val="autoZero"/>
        <c:auto val="1"/>
        <c:lblAlgn val="ctr"/>
        <c:lblOffset val="100"/>
        <c:noMultiLvlLbl val="0"/>
      </c:catAx>
      <c:valAx>
        <c:axId val="11099127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9913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338137</xdr:colOff>
      <xdr:row>29</xdr:row>
      <xdr:rowOff>6</xdr:rowOff>
    </xdr:from>
    <xdr:to>
      <xdr:col>30</xdr:col>
      <xdr:colOff>4762</xdr:colOff>
      <xdr:row>43</xdr:row>
      <xdr:rowOff>76206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CF19B1D-FAE3-E524-150B-44AB087555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28575</xdr:colOff>
      <xdr:row>29</xdr:row>
      <xdr:rowOff>0</xdr:rowOff>
    </xdr:from>
    <xdr:to>
      <xdr:col>22</xdr:col>
      <xdr:colOff>333375</xdr:colOff>
      <xdr:row>43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D46DFC1-D1D3-4CE1-8D6B-9078C608E6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128587</xdr:colOff>
      <xdr:row>0</xdr:row>
      <xdr:rowOff>6</xdr:rowOff>
    </xdr:from>
    <xdr:to>
      <xdr:col>9</xdr:col>
      <xdr:colOff>433387</xdr:colOff>
      <xdr:row>13</xdr:row>
      <xdr:rowOff>142881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22B567-E1CF-67C6-0BD6-E5AFA97C68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fangraphs.com/players/matt-strahm/13799/stats?position=P" TargetMode="External"/><Relationship Id="rId18" Type="http://schemas.openxmlformats.org/officeDocument/2006/relationships/hyperlink" Target="https://www.fangraphs.com/leaders/major-league?pos=all&amp;stats=pit&amp;utm_source=chatgpt.com&amp;startdate=&amp;enddate=&amp;month=0&amp;season1=2025&amp;season=2025&amp;team=26&amp;type=0&amp;qual=0" TargetMode="External"/><Relationship Id="rId26" Type="http://schemas.openxmlformats.org/officeDocument/2006/relationships/hyperlink" Target="https://www.fangraphs.com/leaders/major-league?pos=all&amp;stats=pit&amp;utm_source=chatgpt.com&amp;startdate=&amp;enddate=&amp;month=0&amp;season1=2025&amp;season=2025&amp;team=26&amp;type=0&amp;qual=0" TargetMode="External"/><Relationship Id="rId39" Type="http://schemas.openxmlformats.org/officeDocument/2006/relationships/hyperlink" Target="https://www.fangraphs.com/players/jose-ruiz/14552/stats?position=P" TargetMode="External"/><Relationship Id="rId21" Type="http://schemas.openxmlformats.org/officeDocument/2006/relationships/hyperlink" Target="https://www.fangraphs.com/players/joe-ross/12972/stats?position=P" TargetMode="External"/><Relationship Id="rId34" Type="http://schemas.openxmlformats.org/officeDocument/2006/relationships/hyperlink" Target="https://www.fangraphs.com/leaders/major-league?pos=all&amp;stats=pit&amp;utm_source=chatgpt.com&amp;startdate=&amp;enddate=&amp;month=0&amp;season1=2025&amp;season=2025&amp;team=26&amp;type=0&amp;qual=0" TargetMode="External"/><Relationship Id="rId42" Type="http://schemas.openxmlformats.org/officeDocument/2006/relationships/hyperlink" Target="https://www.fangraphs.com/leaders/major-league?pos=all&amp;stats=pit&amp;utm_source=chatgpt.com&amp;startdate=&amp;enddate=&amp;month=0&amp;season1=2025&amp;season=2025&amp;team=26&amp;type=0&amp;qual=0" TargetMode="External"/><Relationship Id="rId47" Type="http://schemas.openxmlformats.org/officeDocument/2006/relationships/hyperlink" Target="https://www.fangraphs.com/players/tim-mayza/15042/stats?position=P" TargetMode="External"/><Relationship Id="rId50" Type="http://schemas.openxmlformats.org/officeDocument/2006/relationships/hyperlink" Target="https://www.fangraphs.com/leaders/major-league?pos=all&amp;stats=pit&amp;utm_source=chatgpt.com&amp;startdate=&amp;enddate=&amp;month=0&amp;season1=2025&amp;season=2025&amp;team=26&amp;type=0&amp;qual=0" TargetMode="External"/><Relationship Id="rId55" Type="http://schemas.openxmlformats.org/officeDocument/2006/relationships/hyperlink" Target="https://www.fangraphs.com/players/brett-de-geus/23592/stats?position=P" TargetMode="External"/><Relationship Id="rId7" Type="http://schemas.openxmlformats.org/officeDocument/2006/relationships/hyperlink" Target="https://www.fangraphs.com/players/ranger-suarez/17277/stats?position=P" TargetMode="External"/><Relationship Id="rId2" Type="http://schemas.openxmlformats.org/officeDocument/2006/relationships/hyperlink" Target="https://www.fangraphs.com/leaders/major-league?pos=all&amp;stats=pit&amp;utm_source=chatgpt.com&amp;startdate=&amp;enddate=&amp;month=0&amp;season1=2025&amp;season=2025&amp;team=26&amp;type=0&amp;qual=0" TargetMode="External"/><Relationship Id="rId16" Type="http://schemas.openxmlformats.org/officeDocument/2006/relationships/hyperlink" Target="https://www.fangraphs.com/leaders/major-league?pos=all&amp;stats=pit&amp;utm_source=chatgpt.com&amp;startdate=&amp;enddate=&amp;month=0&amp;season1=2025&amp;season=2025&amp;team=26&amp;type=0&amp;qual=0" TargetMode="External"/><Relationship Id="rId29" Type="http://schemas.openxmlformats.org/officeDocument/2006/relationships/hyperlink" Target="https://www.fangraphs.com/players/carlos-hernandez/22713/stats?position=P" TargetMode="External"/><Relationship Id="rId11" Type="http://schemas.openxmlformats.org/officeDocument/2006/relationships/hyperlink" Target="https://www.fangraphs.com/players/taijuan-walker/11836/stats?position=P" TargetMode="External"/><Relationship Id="rId24" Type="http://schemas.openxmlformats.org/officeDocument/2006/relationships/hyperlink" Target="https://www.fangraphs.com/leaders/major-league?pos=all&amp;stats=pit&amp;utm_source=chatgpt.com&amp;startdate=&amp;enddate=&amp;month=0&amp;season1=2025&amp;season=2025&amp;team=26&amp;type=0&amp;qual=0" TargetMode="External"/><Relationship Id="rId32" Type="http://schemas.openxmlformats.org/officeDocument/2006/relationships/hyperlink" Target="https://www.fangraphs.com/leaders/major-league?pos=all&amp;stats=pit&amp;utm_source=chatgpt.com&amp;startdate=&amp;enddate=&amp;month=0&amp;season1=2025&amp;season=2025&amp;team=26&amp;type=0&amp;qual=0" TargetMode="External"/><Relationship Id="rId37" Type="http://schemas.openxmlformats.org/officeDocument/2006/relationships/hyperlink" Target="https://www.fangraphs.com/players/daniel-robert/21229/stats?position=P" TargetMode="External"/><Relationship Id="rId40" Type="http://schemas.openxmlformats.org/officeDocument/2006/relationships/hyperlink" Target="https://www.fangraphs.com/leaders/major-league?pos=all&amp;stats=pit&amp;utm_source=chatgpt.com&amp;startdate=&amp;enddate=&amp;month=0&amp;season1=2025&amp;season=2025&amp;team=26&amp;type=0&amp;qual=0" TargetMode="External"/><Relationship Id="rId45" Type="http://schemas.openxmlformats.org/officeDocument/2006/relationships/hyperlink" Target="https://www.fangraphs.com/players/alan-rangel/19524/stats?position=P" TargetMode="External"/><Relationship Id="rId53" Type="http://schemas.openxmlformats.org/officeDocument/2006/relationships/hyperlink" Target="https://www.fangraphs.com/players/weston-wilson/19358/stats?position=OF" TargetMode="External"/><Relationship Id="rId58" Type="http://schemas.openxmlformats.org/officeDocument/2006/relationships/drawing" Target="../drawings/drawing1.xml"/><Relationship Id="rId5" Type="http://schemas.openxmlformats.org/officeDocument/2006/relationships/hyperlink" Target="https://www.fangraphs.com/players/zack-wheeler/10310/stats?position=P" TargetMode="External"/><Relationship Id="rId19" Type="http://schemas.openxmlformats.org/officeDocument/2006/relationships/hyperlink" Target="https://www.fangraphs.com/players/jordan-romano/16122/stats?position=P" TargetMode="External"/><Relationship Id="rId4" Type="http://schemas.openxmlformats.org/officeDocument/2006/relationships/hyperlink" Target="https://www.fangraphs.com/leaders/major-league?pos=all&amp;stats=pit&amp;utm_source=chatgpt.com&amp;startdate=&amp;enddate=&amp;month=0&amp;season1=2025&amp;season=2025&amp;team=26&amp;type=0&amp;qual=0" TargetMode="External"/><Relationship Id="rId9" Type="http://schemas.openxmlformats.org/officeDocument/2006/relationships/hyperlink" Target="https://www.fangraphs.com/players/aaron-nola/16149/stats?position=P" TargetMode="External"/><Relationship Id="rId14" Type="http://schemas.openxmlformats.org/officeDocument/2006/relationships/hyperlink" Target="https://www.fangraphs.com/leaders/major-league?pos=all&amp;stats=pit&amp;utm_source=chatgpt.com&amp;startdate=&amp;enddate=&amp;month=0&amp;season1=2025&amp;season=2025&amp;team=26&amp;type=0&amp;qual=0" TargetMode="External"/><Relationship Id="rId22" Type="http://schemas.openxmlformats.org/officeDocument/2006/relationships/hyperlink" Target="https://www.fangraphs.com/leaders/major-league?pos=all&amp;stats=pit&amp;utm_source=chatgpt.com&amp;startdate=&amp;enddate=&amp;month=0&amp;season1=2025&amp;season=2025&amp;team=26&amp;type=0&amp;qual=0" TargetMode="External"/><Relationship Id="rId27" Type="http://schemas.openxmlformats.org/officeDocument/2006/relationships/hyperlink" Target="https://www.fangraphs.com/players/max-lazar/23426/stats?position=P" TargetMode="External"/><Relationship Id="rId30" Type="http://schemas.openxmlformats.org/officeDocument/2006/relationships/hyperlink" Target="https://www.fangraphs.com/leaders/major-league?pos=all&amp;stats=pit&amp;utm_source=chatgpt.com&amp;startdate=&amp;enddate=&amp;month=0&amp;season1=2025&amp;season=2025&amp;team=26&amp;type=0&amp;qual=0" TargetMode="External"/><Relationship Id="rId35" Type="http://schemas.openxmlformats.org/officeDocument/2006/relationships/hyperlink" Target="https://www.fangraphs.com/players/seth-johnson/26020/stats?position=P" TargetMode="External"/><Relationship Id="rId43" Type="http://schemas.openxmlformats.org/officeDocument/2006/relationships/hyperlink" Target="https://www.fangraphs.com/players/walker-buehler/19374/stats?position=P" TargetMode="External"/><Relationship Id="rId48" Type="http://schemas.openxmlformats.org/officeDocument/2006/relationships/hyperlink" Target="https://www.fangraphs.com/leaders/major-league?pos=all&amp;stats=pit&amp;utm_source=chatgpt.com&amp;startdate=&amp;enddate=&amp;month=0&amp;season1=2025&amp;season=2025&amp;team=26&amp;type=0&amp;qual=0" TargetMode="External"/><Relationship Id="rId56" Type="http://schemas.openxmlformats.org/officeDocument/2006/relationships/hyperlink" Target="https://www.fangraphs.com/leaders/major-league?pos=all&amp;stats=pit&amp;utm_source=chatgpt.com&amp;startdate=&amp;enddate=&amp;month=0&amp;season1=2025&amp;season=2025&amp;team=26&amp;type=0&amp;qual=0" TargetMode="External"/><Relationship Id="rId8" Type="http://schemas.openxmlformats.org/officeDocument/2006/relationships/hyperlink" Target="https://www.fangraphs.com/leaders/major-league?pos=all&amp;stats=pit&amp;utm_source=chatgpt.com&amp;startdate=&amp;enddate=&amp;month=0&amp;season1=2025&amp;season=2025&amp;team=26&amp;type=0&amp;qual=0" TargetMode="External"/><Relationship Id="rId51" Type="http://schemas.openxmlformats.org/officeDocument/2006/relationships/hyperlink" Target="https://www.fangraphs.com/players/nolan-hoffman/23381/stats?position=P" TargetMode="External"/><Relationship Id="rId3" Type="http://schemas.openxmlformats.org/officeDocument/2006/relationships/hyperlink" Target="https://www.fangraphs.com/players/cristopher-sanchez/20778/stats?position=P" TargetMode="External"/><Relationship Id="rId12" Type="http://schemas.openxmlformats.org/officeDocument/2006/relationships/hyperlink" Target="https://www.fangraphs.com/leaders/major-league?pos=all&amp;stats=pit&amp;utm_source=chatgpt.com&amp;startdate=&amp;enddate=&amp;month=0&amp;season1=2025&amp;season=2025&amp;team=26&amp;type=0&amp;qual=0" TargetMode="External"/><Relationship Id="rId17" Type="http://schemas.openxmlformats.org/officeDocument/2006/relationships/hyperlink" Target="https://www.fangraphs.com/players/tanner-banks/16990/stats?position=P" TargetMode="External"/><Relationship Id="rId25" Type="http://schemas.openxmlformats.org/officeDocument/2006/relationships/hyperlink" Target="https://www.fangraphs.com/players/jhoan-duran/21029/stats?position=P" TargetMode="External"/><Relationship Id="rId33" Type="http://schemas.openxmlformats.org/officeDocument/2006/relationships/hyperlink" Target="https://www.fangraphs.com/players/mick-abel/27756/stats?position=P" TargetMode="External"/><Relationship Id="rId38" Type="http://schemas.openxmlformats.org/officeDocument/2006/relationships/hyperlink" Target="https://www.fangraphs.com/leaders/major-league?pos=all&amp;stats=pit&amp;utm_source=chatgpt.com&amp;startdate=&amp;enddate=&amp;month=0&amp;season1=2025&amp;season=2025&amp;team=26&amp;type=0&amp;qual=0" TargetMode="External"/><Relationship Id="rId46" Type="http://schemas.openxmlformats.org/officeDocument/2006/relationships/hyperlink" Target="https://www.fangraphs.com/leaders/major-league?pos=all&amp;stats=pit&amp;utm_source=chatgpt.com&amp;startdate=&amp;enddate=&amp;month=0&amp;season1=2025&amp;season=2025&amp;team=26&amp;type=0&amp;qual=0" TargetMode="External"/><Relationship Id="rId20" Type="http://schemas.openxmlformats.org/officeDocument/2006/relationships/hyperlink" Target="https://www.fangraphs.com/leaders/major-league?pos=all&amp;stats=pit&amp;utm_source=chatgpt.com&amp;startdate=&amp;enddate=&amp;month=0&amp;season1=2025&amp;season=2025&amp;team=26&amp;type=0&amp;qual=0" TargetMode="External"/><Relationship Id="rId41" Type="http://schemas.openxmlformats.org/officeDocument/2006/relationships/hyperlink" Target="https://www.fangraphs.com/players/lou-trivino/15043/stats?position=P" TargetMode="External"/><Relationship Id="rId54" Type="http://schemas.openxmlformats.org/officeDocument/2006/relationships/hyperlink" Target="https://www.fangraphs.com/leaders/major-league?pos=all&amp;stats=pit&amp;utm_source=chatgpt.com&amp;startdate=&amp;enddate=&amp;month=0&amp;season1=2025&amp;season=2025&amp;team=26&amp;type=0&amp;qual=0" TargetMode="External"/><Relationship Id="rId1" Type="http://schemas.openxmlformats.org/officeDocument/2006/relationships/hyperlink" Target="https://www.fangraphs.com/players/jesus-luzardo/19959/stats?position=P" TargetMode="External"/><Relationship Id="rId6" Type="http://schemas.openxmlformats.org/officeDocument/2006/relationships/hyperlink" Target="https://www.fangraphs.com/leaders/major-league?pos=all&amp;stats=pit&amp;utm_source=chatgpt.com&amp;startdate=&amp;enddate=&amp;month=0&amp;season1=2025&amp;season=2025&amp;team=26&amp;type=0&amp;qual=0" TargetMode="External"/><Relationship Id="rId15" Type="http://schemas.openxmlformats.org/officeDocument/2006/relationships/hyperlink" Target="https://www.fangraphs.com/players/orion-kerkering/31776/stats?position=P" TargetMode="External"/><Relationship Id="rId23" Type="http://schemas.openxmlformats.org/officeDocument/2006/relationships/hyperlink" Target="https://www.fangraphs.com/players/jose-alvarado/17780/stats?position=P" TargetMode="External"/><Relationship Id="rId28" Type="http://schemas.openxmlformats.org/officeDocument/2006/relationships/hyperlink" Target="https://www.fangraphs.com/leaders/major-league?pos=all&amp;stats=pit&amp;utm_source=chatgpt.com&amp;startdate=&amp;enddate=&amp;month=0&amp;season1=2025&amp;season=2025&amp;team=26&amp;type=0&amp;qual=0" TargetMode="External"/><Relationship Id="rId36" Type="http://schemas.openxmlformats.org/officeDocument/2006/relationships/hyperlink" Target="https://www.fangraphs.com/leaders/major-league?pos=all&amp;stats=pit&amp;utm_source=chatgpt.com&amp;startdate=&amp;enddate=&amp;month=0&amp;season1=2025&amp;season=2025&amp;team=26&amp;type=0&amp;qual=0" TargetMode="External"/><Relationship Id="rId49" Type="http://schemas.openxmlformats.org/officeDocument/2006/relationships/hyperlink" Target="https://www.fangraphs.com/players/michael-mercado/23223/stats?position=P" TargetMode="External"/><Relationship Id="rId57" Type="http://schemas.openxmlformats.org/officeDocument/2006/relationships/printerSettings" Target="../printerSettings/printerSettings1.bin"/><Relationship Id="rId10" Type="http://schemas.openxmlformats.org/officeDocument/2006/relationships/hyperlink" Target="https://www.fangraphs.com/leaders/major-league?pos=all&amp;stats=pit&amp;utm_source=chatgpt.com&amp;startdate=&amp;enddate=&amp;month=0&amp;season1=2025&amp;season=2025&amp;team=26&amp;type=0&amp;qual=0" TargetMode="External"/><Relationship Id="rId31" Type="http://schemas.openxmlformats.org/officeDocument/2006/relationships/hyperlink" Target="https://www.fangraphs.com/players/david-robertson/8241/stats?position=P" TargetMode="External"/><Relationship Id="rId44" Type="http://schemas.openxmlformats.org/officeDocument/2006/relationships/hyperlink" Target="https://www.fangraphs.com/leaders/major-league?pos=all&amp;stats=pit&amp;utm_source=chatgpt.com&amp;startdate=&amp;enddate=&amp;month=0&amp;season1=2025&amp;season=2025&amp;team=26&amp;type=0&amp;qual=0" TargetMode="External"/><Relationship Id="rId52" Type="http://schemas.openxmlformats.org/officeDocument/2006/relationships/hyperlink" Target="https://www.fangraphs.com/leaders/major-league?pos=all&amp;stats=pit&amp;utm_source=chatgpt.com&amp;startdate=&amp;enddate=&amp;month=0&amp;season1=2025&amp;season=2025&amp;team=26&amp;type=0&amp;qual=0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angraphs.com/players/orion-kerkering/31776/stats?position=P" TargetMode="External"/><Relationship Id="rId13" Type="http://schemas.openxmlformats.org/officeDocument/2006/relationships/hyperlink" Target="https://www.fangraphs.com/players/jhoan-duran/21029/stats?position=P" TargetMode="External"/><Relationship Id="rId18" Type="http://schemas.openxmlformats.org/officeDocument/2006/relationships/hyperlink" Target="https://www.fangraphs.com/players/seth-johnson/26020/stats?position=P" TargetMode="External"/><Relationship Id="rId26" Type="http://schemas.openxmlformats.org/officeDocument/2006/relationships/hyperlink" Target="https://www.fangraphs.com/players/nolan-hoffman/23381/stats?position=P" TargetMode="External"/><Relationship Id="rId3" Type="http://schemas.openxmlformats.org/officeDocument/2006/relationships/hyperlink" Target="https://www.fangraphs.com/players/zack-wheeler/10310/stats?position=P" TargetMode="External"/><Relationship Id="rId21" Type="http://schemas.openxmlformats.org/officeDocument/2006/relationships/hyperlink" Target="https://www.fangraphs.com/players/lou-trivino/15043/stats?position=P" TargetMode="External"/><Relationship Id="rId7" Type="http://schemas.openxmlformats.org/officeDocument/2006/relationships/hyperlink" Target="https://www.fangraphs.com/players/matt-strahm/13799/stats?position=P" TargetMode="External"/><Relationship Id="rId12" Type="http://schemas.openxmlformats.org/officeDocument/2006/relationships/hyperlink" Target="https://www.fangraphs.com/players/jose-alvarado/17780/stats?position=P" TargetMode="External"/><Relationship Id="rId17" Type="http://schemas.openxmlformats.org/officeDocument/2006/relationships/hyperlink" Target="https://www.fangraphs.com/players/mick-abel/27756/stats?position=P" TargetMode="External"/><Relationship Id="rId25" Type="http://schemas.openxmlformats.org/officeDocument/2006/relationships/hyperlink" Target="https://www.fangraphs.com/players/michael-mercado/23223/stats?position=P" TargetMode="External"/><Relationship Id="rId2" Type="http://schemas.openxmlformats.org/officeDocument/2006/relationships/hyperlink" Target="https://www.fangraphs.com/players/cristopher-sanchez/20778/stats?position=P" TargetMode="External"/><Relationship Id="rId16" Type="http://schemas.openxmlformats.org/officeDocument/2006/relationships/hyperlink" Target="https://www.fangraphs.com/players/david-robertson/8241/stats?position=P" TargetMode="External"/><Relationship Id="rId20" Type="http://schemas.openxmlformats.org/officeDocument/2006/relationships/hyperlink" Target="https://www.fangraphs.com/players/jose-ruiz/14552/stats?position=P" TargetMode="External"/><Relationship Id="rId29" Type="http://schemas.openxmlformats.org/officeDocument/2006/relationships/drawing" Target="../drawings/drawing2.xml"/><Relationship Id="rId1" Type="http://schemas.openxmlformats.org/officeDocument/2006/relationships/hyperlink" Target="https://www.fangraphs.com/players/jesus-luzardo/19959/stats?position=P" TargetMode="External"/><Relationship Id="rId6" Type="http://schemas.openxmlformats.org/officeDocument/2006/relationships/hyperlink" Target="https://www.fangraphs.com/players/taijuan-walker/11836/stats?position=P" TargetMode="External"/><Relationship Id="rId11" Type="http://schemas.openxmlformats.org/officeDocument/2006/relationships/hyperlink" Target="https://www.fangraphs.com/players/joe-ross/12972/stats?position=P" TargetMode="External"/><Relationship Id="rId24" Type="http://schemas.openxmlformats.org/officeDocument/2006/relationships/hyperlink" Target="https://www.fangraphs.com/players/tim-mayza/15042/stats?position=P" TargetMode="External"/><Relationship Id="rId5" Type="http://schemas.openxmlformats.org/officeDocument/2006/relationships/hyperlink" Target="https://www.fangraphs.com/players/aaron-nola/16149/stats?position=P" TargetMode="External"/><Relationship Id="rId15" Type="http://schemas.openxmlformats.org/officeDocument/2006/relationships/hyperlink" Target="https://www.fangraphs.com/players/carlos-hernandez/22713/stats?position=P" TargetMode="External"/><Relationship Id="rId23" Type="http://schemas.openxmlformats.org/officeDocument/2006/relationships/hyperlink" Target="https://www.fangraphs.com/players/alan-rangel/19524/stats?position=P" TargetMode="External"/><Relationship Id="rId28" Type="http://schemas.openxmlformats.org/officeDocument/2006/relationships/hyperlink" Target="https://www.fangraphs.com/players/brett-de-geus/23592/stats?position=P" TargetMode="External"/><Relationship Id="rId10" Type="http://schemas.openxmlformats.org/officeDocument/2006/relationships/hyperlink" Target="https://www.fangraphs.com/players/jordan-romano/16122/stats?position=P" TargetMode="External"/><Relationship Id="rId19" Type="http://schemas.openxmlformats.org/officeDocument/2006/relationships/hyperlink" Target="https://www.fangraphs.com/players/daniel-robert/21229/stats?position=P" TargetMode="External"/><Relationship Id="rId4" Type="http://schemas.openxmlformats.org/officeDocument/2006/relationships/hyperlink" Target="https://www.fangraphs.com/players/ranger-suarez/17277/stats?position=P" TargetMode="External"/><Relationship Id="rId9" Type="http://schemas.openxmlformats.org/officeDocument/2006/relationships/hyperlink" Target="https://www.fangraphs.com/players/tanner-banks/16990/stats?position=P" TargetMode="External"/><Relationship Id="rId14" Type="http://schemas.openxmlformats.org/officeDocument/2006/relationships/hyperlink" Target="https://www.fangraphs.com/players/max-lazar/23426/stats?position=P" TargetMode="External"/><Relationship Id="rId22" Type="http://schemas.openxmlformats.org/officeDocument/2006/relationships/hyperlink" Target="https://www.fangraphs.com/players/walker-buehler/19374/stats?position=P" TargetMode="External"/><Relationship Id="rId27" Type="http://schemas.openxmlformats.org/officeDocument/2006/relationships/hyperlink" Target="https://www.fangraphs.com/players/weston-wilson/19358/stats?position=O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EC1C1-0A5F-485F-996C-AD70218C5849}">
  <dimension ref="A1:AD29"/>
  <sheetViews>
    <sheetView tabSelected="1" topLeftCell="B20" workbookViewId="0">
      <selection activeCell="AC1" activeCellId="2" sqref="B1 B1:B1048576 AC1:AC1048576"/>
    </sheetView>
  </sheetViews>
  <sheetFormatPr defaultRowHeight="15" x14ac:dyDescent="0.25"/>
  <cols>
    <col min="30" max="30" width="9.5703125" bestFit="1" customWidth="1"/>
  </cols>
  <sheetData>
    <row r="1" spans="1:30" ht="15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55</v>
      </c>
      <c r="AB1" s="3" t="s">
        <v>56</v>
      </c>
      <c r="AC1" s="3" t="s">
        <v>57</v>
      </c>
      <c r="AD1" s="3" t="s">
        <v>58</v>
      </c>
    </row>
    <row r="2" spans="1:30" ht="15.75" thickBot="1" x14ac:dyDescent="0.3">
      <c r="A2" s="4">
        <v>1</v>
      </c>
      <c r="B2" s="5" t="s">
        <v>26</v>
      </c>
      <c r="C2" s="5" t="s">
        <v>27</v>
      </c>
      <c r="D2" s="6">
        <v>15</v>
      </c>
      <c r="E2" s="6">
        <v>7</v>
      </c>
      <c r="F2" s="6">
        <v>3.92</v>
      </c>
      <c r="G2" s="6">
        <v>32</v>
      </c>
      <c r="H2" s="6">
        <v>32</v>
      </c>
      <c r="I2" s="6">
        <v>18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183.2</v>
      </c>
      <c r="P2" s="6">
        <v>758</v>
      </c>
      <c r="Q2" s="6">
        <v>167</v>
      </c>
      <c r="R2" s="6">
        <v>85</v>
      </c>
      <c r="S2" s="6">
        <v>80</v>
      </c>
      <c r="T2" s="6">
        <v>16</v>
      </c>
      <c r="U2" s="6">
        <v>57</v>
      </c>
      <c r="V2" s="6">
        <v>0</v>
      </c>
      <c r="W2" s="6">
        <v>3</v>
      </c>
      <c r="X2" s="6">
        <v>2</v>
      </c>
      <c r="Y2" s="6">
        <v>1</v>
      </c>
      <c r="Z2" s="6">
        <v>216</v>
      </c>
      <c r="AA2" s="7">
        <f>Z2/P2</f>
        <v>0.28496042216358841</v>
      </c>
      <c r="AB2" s="7">
        <f>U2/P2</f>
        <v>7.5197889182058053E-2</v>
      </c>
      <c r="AC2" s="8">
        <f>(T2*9)/O2</f>
        <v>0.7860262008733625</v>
      </c>
      <c r="AD2" s="8">
        <f>(U2+Q2)/O2</f>
        <v>1.2227074235807862</v>
      </c>
    </row>
    <row r="3" spans="1:30" ht="15.75" thickBot="1" x14ac:dyDescent="0.3">
      <c r="A3" s="4">
        <v>2</v>
      </c>
      <c r="B3" s="5" t="s">
        <v>28</v>
      </c>
      <c r="C3" s="5" t="s">
        <v>27</v>
      </c>
      <c r="D3" s="6">
        <v>13</v>
      </c>
      <c r="E3" s="6">
        <v>5</v>
      </c>
      <c r="F3" s="6">
        <v>2.5</v>
      </c>
      <c r="G3" s="6">
        <v>32</v>
      </c>
      <c r="H3" s="6">
        <v>32</v>
      </c>
      <c r="I3" s="6">
        <v>22</v>
      </c>
      <c r="J3" s="6">
        <v>1</v>
      </c>
      <c r="K3" s="6">
        <v>0</v>
      </c>
      <c r="L3" s="6">
        <v>0</v>
      </c>
      <c r="M3" s="6">
        <v>0</v>
      </c>
      <c r="N3" s="6">
        <v>0</v>
      </c>
      <c r="O3" s="6">
        <v>202</v>
      </c>
      <c r="P3" s="6">
        <v>807</v>
      </c>
      <c r="Q3" s="6">
        <v>171</v>
      </c>
      <c r="R3" s="6">
        <v>58</v>
      </c>
      <c r="S3" s="6">
        <v>56</v>
      </c>
      <c r="T3" s="6">
        <v>12</v>
      </c>
      <c r="U3" s="6">
        <v>44</v>
      </c>
      <c r="V3" s="6">
        <v>0</v>
      </c>
      <c r="W3" s="6">
        <v>6</v>
      </c>
      <c r="X3" s="6">
        <v>6</v>
      </c>
      <c r="Y3" s="6">
        <v>1</v>
      </c>
      <c r="Z3" s="6">
        <v>212</v>
      </c>
      <c r="AA3" s="7">
        <f t="shared" ref="AA3:AA29" si="0">Z3/P3</f>
        <v>0.26270136307311026</v>
      </c>
      <c r="AB3" s="7">
        <f t="shared" ref="AB3:AB29" si="1">U3/P3</f>
        <v>5.4522924411400248E-2</v>
      </c>
      <c r="AC3" s="8">
        <f t="shared" ref="AC3:AC29" si="2">(T3*9)/O3</f>
        <v>0.53465346534653468</v>
      </c>
      <c r="AD3" s="8">
        <f t="shared" ref="AD3:AD29" si="3">(U3+Q3)/O3</f>
        <v>1.0643564356435644</v>
      </c>
    </row>
    <row r="4" spans="1:30" ht="15.75" thickBot="1" x14ac:dyDescent="0.3">
      <c r="A4" s="4">
        <v>3</v>
      </c>
      <c r="B4" s="5" t="s">
        <v>29</v>
      </c>
      <c r="C4" s="5" t="s">
        <v>27</v>
      </c>
      <c r="D4" s="6">
        <v>10</v>
      </c>
      <c r="E4" s="6">
        <v>5</v>
      </c>
      <c r="F4" s="6">
        <v>2.71</v>
      </c>
      <c r="G4" s="6">
        <v>24</v>
      </c>
      <c r="H4" s="6">
        <v>24</v>
      </c>
      <c r="I4" s="6">
        <v>16</v>
      </c>
      <c r="J4" s="6">
        <v>1</v>
      </c>
      <c r="K4" s="6">
        <v>0</v>
      </c>
      <c r="L4" s="6">
        <v>0</v>
      </c>
      <c r="M4" s="6">
        <v>0</v>
      </c>
      <c r="N4" s="6">
        <v>0</v>
      </c>
      <c r="O4" s="6">
        <v>149.19999999999999</v>
      </c>
      <c r="P4" s="6">
        <v>585</v>
      </c>
      <c r="Q4" s="6">
        <v>107</v>
      </c>
      <c r="R4" s="6">
        <v>48</v>
      </c>
      <c r="S4" s="6">
        <v>45</v>
      </c>
      <c r="T4" s="6">
        <v>19</v>
      </c>
      <c r="U4" s="6">
        <v>33</v>
      </c>
      <c r="V4" s="6">
        <v>0</v>
      </c>
      <c r="W4" s="6">
        <v>8</v>
      </c>
      <c r="X4" s="6">
        <v>2</v>
      </c>
      <c r="Y4" s="6">
        <v>0</v>
      </c>
      <c r="Z4" s="6">
        <v>195</v>
      </c>
      <c r="AA4" s="7">
        <f t="shared" si="0"/>
        <v>0.33333333333333331</v>
      </c>
      <c r="AB4" s="7">
        <f t="shared" si="1"/>
        <v>5.6410256410256411E-2</v>
      </c>
      <c r="AC4" s="8">
        <f t="shared" si="2"/>
        <v>1.146112600536193</v>
      </c>
      <c r="AD4" s="8">
        <f t="shared" si="3"/>
        <v>0.93833780160857916</v>
      </c>
    </row>
    <row r="5" spans="1:30" ht="15.75" thickBot="1" x14ac:dyDescent="0.3">
      <c r="A5" s="4">
        <v>4</v>
      </c>
      <c r="B5" s="5" t="s">
        <v>30</v>
      </c>
      <c r="C5" s="5" t="s">
        <v>27</v>
      </c>
      <c r="D5" s="6">
        <v>12</v>
      </c>
      <c r="E5" s="6">
        <v>8</v>
      </c>
      <c r="F5" s="6">
        <v>3.2</v>
      </c>
      <c r="G5" s="6">
        <v>26</v>
      </c>
      <c r="H5" s="6">
        <v>26</v>
      </c>
      <c r="I5" s="6">
        <v>17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157.1</v>
      </c>
      <c r="P5" s="6">
        <v>651</v>
      </c>
      <c r="Q5" s="6">
        <v>154</v>
      </c>
      <c r="R5" s="6">
        <v>57</v>
      </c>
      <c r="S5" s="6">
        <v>56</v>
      </c>
      <c r="T5" s="6">
        <v>14</v>
      </c>
      <c r="U5" s="6">
        <v>38</v>
      </c>
      <c r="V5" s="6">
        <v>0</v>
      </c>
      <c r="W5" s="6">
        <v>6</v>
      </c>
      <c r="X5" s="6">
        <v>0</v>
      </c>
      <c r="Y5" s="6">
        <v>0</v>
      </c>
      <c r="Z5" s="6">
        <v>151</v>
      </c>
      <c r="AA5" s="7">
        <f t="shared" si="0"/>
        <v>0.23195084485407066</v>
      </c>
      <c r="AB5" s="7">
        <f t="shared" si="1"/>
        <v>5.8371735791090631E-2</v>
      </c>
      <c r="AC5" s="8">
        <f t="shared" si="2"/>
        <v>0.80203691915977082</v>
      </c>
      <c r="AD5" s="8">
        <f t="shared" si="3"/>
        <v>1.2221514958625079</v>
      </c>
    </row>
    <row r="6" spans="1:30" ht="15.75" thickBot="1" x14ac:dyDescent="0.3">
      <c r="A6" s="4">
        <v>5</v>
      </c>
      <c r="B6" s="5" t="s">
        <v>31</v>
      </c>
      <c r="C6" s="5" t="s">
        <v>27</v>
      </c>
      <c r="D6" s="6">
        <v>5</v>
      </c>
      <c r="E6" s="6">
        <v>10</v>
      </c>
      <c r="F6" s="6">
        <v>6.01</v>
      </c>
      <c r="G6" s="6">
        <v>17</v>
      </c>
      <c r="H6" s="6">
        <v>17</v>
      </c>
      <c r="I6" s="6">
        <v>6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94.1</v>
      </c>
      <c r="P6" s="6">
        <v>404</v>
      </c>
      <c r="Q6" s="6">
        <v>99</v>
      </c>
      <c r="R6" s="6">
        <v>65</v>
      </c>
      <c r="S6" s="6">
        <v>63</v>
      </c>
      <c r="T6" s="6">
        <v>18</v>
      </c>
      <c r="U6" s="6">
        <v>28</v>
      </c>
      <c r="V6" s="6">
        <v>0</v>
      </c>
      <c r="W6" s="6">
        <v>4</v>
      </c>
      <c r="X6" s="6">
        <v>1</v>
      </c>
      <c r="Y6" s="6">
        <v>0</v>
      </c>
      <c r="Z6" s="6">
        <v>97</v>
      </c>
      <c r="AA6" s="7">
        <f t="shared" si="0"/>
        <v>0.24009900990099009</v>
      </c>
      <c r="AB6" s="7">
        <f t="shared" si="1"/>
        <v>6.9306930693069313E-2</v>
      </c>
      <c r="AC6" s="8">
        <f t="shared" si="2"/>
        <v>1.7215727948990436</v>
      </c>
      <c r="AD6" s="8">
        <f t="shared" si="3"/>
        <v>1.3496280552603614</v>
      </c>
    </row>
    <row r="7" spans="1:30" ht="15.75" thickBot="1" x14ac:dyDescent="0.3">
      <c r="A7" s="4">
        <v>6</v>
      </c>
      <c r="B7" s="5" t="s">
        <v>32</v>
      </c>
      <c r="C7" s="5" t="s">
        <v>27</v>
      </c>
      <c r="D7" s="6">
        <v>5</v>
      </c>
      <c r="E7" s="6">
        <v>8</v>
      </c>
      <c r="F7" s="6">
        <v>4.08</v>
      </c>
      <c r="G7" s="6">
        <v>34</v>
      </c>
      <c r="H7" s="6">
        <v>21</v>
      </c>
      <c r="I7" s="6">
        <v>4</v>
      </c>
      <c r="J7" s="6">
        <v>0</v>
      </c>
      <c r="K7" s="6">
        <v>0</v>
      </c>
      <c r="L7" s="6">
        <v>1</v>
      </c>
      <c r="M7" s="6">
        <v>2</v>
      </c>
      <c r="N7" s="6">
        <v>2</v>
      </c>
      <c r="O7" s="6">
        <v>123.2</v>
      </c>
      <c r="P7" s="6">
        <v>538</v>
      </c>
      <c r="Q7" s="6">
        <v>132</v>
      </c>
      <c r="R7" s="6">
        <v>62</v>
      </c>
      <c r="S7" s="6">
        <v>56</v>
      </c>
      <c r="T7" s="6">
        <v>21</v>
      </c>
      <c r="U7" s="6">
        <v>42</v>
      </c>
      <c r="V7" s="6">
        <v>0</v>
      </c>
      <c r="W7" s="6">
        <v>4</v>
      </c>
      <c r="X7" s="6">
        <v>1</v>
      </c>
      <c r="Y7" s="6">
        <v>0</v>
      </c>
      <c r="Z7" s="6">
        <v>86</v>
      </c>
      <c r="AA7" s="7">
        <f t="shared" si="0"/>
        <v>0.15985130111524162</v>
      </c>
      <c r="AB7" s="7">
        <f t="shared" si="1"/>
        <v>7.8066914498141265E-2</v>
      </c>
      <c r="AC7" s="8">
        <f t="shared" si="2"/>
        <v>1.5340909090909089</v>
      </c>
      <c r="AD7" s="8">
        <f t="shared" si="3"/>
        <v>1.4123376623376622</v>
      </c>
    </row>
    <row r="8" spans="1:30" ht="15.75" thickBot="1" x14ac:dyDescent="0.3">
      <c r="A8" s="4">
        <v>7</v>
      </c>
      <c r="B8" s="5" t="s">
        <v>33</v>
      </c>
      <c r="C8" s="5" t="s">
        <v>27</v>
      </c>
      <c r="D8" s="6">
        <v>2</v>
      </c>
      <c r="E8" s="6">
        <v>3</v>
      </c>
      <c r="F8" s="6">
        <v>2.74</v>
      </c>
      <c r="G8" s="6">
        <v>66</v>
      </c>
      <c r="H8" s="6">
        <v>0</v>
      </c>
      <c r="I8" s="6">
        <v>0</v>
      </c>
      <c r="J8" s="6">
        <v>0</v>
      </c>
      <c r="K8" s="6">
        <v>0</v>
      </c>
      <c r="L8" s="6">
        <v>6</v>
      </c>
      <c r="M8" s="6">
        <v>22</v>
      </c>
      <c r="N8" s="6">
        <v>4</v>
      </c>
      <c r="O8" s="6">
        <v>62.1</v>
      </c>
      <c r="P8" s="6">
        <v>256</v>
      </c>
      <c r="Q8" s="6">
        <v>47</v>
      </c>
      <c r="R8" s="6">
        <v>22</v>
      </c>
      <c r="S8" s="6">
        <v>19</v>
      </c>
      <c r="T8" s="6">
        <v>5</v>
      </c>
      <c r="U8" s="6">
        <v>20</v>
      </c>
      <c r="V8" s="6">
        <v>1</v>
      </c>
      <c r="W8" s="6">
        <v>2</v>
      </c>
      <c r="X8" s="6">
        <v>3</v>
      </c>
      <c r="Y8" s="6">
        <v>0</v>
      </c>
      <c r="Z8" s="6">
        <v>70</v>
      </c>
      <c r="AA8" s="7">
        <f t="shared" si="0"/>
        <v>0.2734375</v>
      </c>
      <c r="AB8" s="7">
        <f t="shared" si="1"/>
        <v>7.8125E-2</v>
      </c>
      <c r="AC8" s="8">
        <f t="shared" si="2"/>
        <v>0.72463768115942029</v>
      </c>
      <c r="AD8" s="8">
        <f t="shared" si="3"/>
        <v>1.0789049919484701</v>
      </c>
    </row>
    <row r="9" spans="1:30" ht="15.75" thickBot="1" x14ac:dyDescent="0.3">
      <c r="A9" s="4">
        <v>8</v>
      </c>
      <c r="B9" s="5" t="s">
        <v>34</v>
      </c>
      <c r="C9" s="5" t="s">
        <v>27</v>
      </c>
      <c r="D9" s="6">
        <v>8</v>
      </c>
      <c r="E9" s="6">
        <v>4</v>
      </c>
      <c r="F9" s="6">
        <v>3.3</v>
      </c>
      <c r="G9" s="6">
        <v>69</v>
      </c>
      <c r="H9" s="6">
        <v>0</v>
      </c>
      <c r="I9" s="6">
        <v>0</v>
      </c>
      <c r="J9" s="6">
        <v>0</v>
      </c>
      <c r="K9" s="6">
        <v>0</v>
      </c>
      <c r="L9" s="6">
        <v>4</v>
      </c>
      <c r="M9" s="6">
        <v>19</v>
      </c>
      <c r="N9" s="6">
        <v>7</v>
      </c>
      <c r="O9" s="6">
        <v>60</v>
      </c>
      <c r="P9" s="6">
        <v>266</v>
      </c>
      <c r="Q9" s="6">
        <v>55</v>
      </c>
      <c r="R9" s="6">
        <v>28</v>
      </c>
      <c r="S9" s="6">
        <v>22</v>
      </c>
      <c r="T9" s="6">
        <v>6</v>
      </c>
      <c r="U9" s="6">
        <v>27</v>
      </c>
      <c r="V9" s="6">
        <v>3</v>
      </c>
      <c r="W9" s="6">
        <v>4</v>
      </c>
      <c r="X9" s="6">
        <v>5</v>
      </c>
      <c r="Y9" s="6">
        <v>0</v>
      </c>
      <c r="Z9" s="6">
        <v>65</v>
      </c>
      <c r="AA9" s="7">
        <f t="shared" si="0"/>
        <v>0.24436090225563908</v>
      </c>
      <c r="AB9" s="7">
        <f t="shared" si="1"/>
        <v>0.10150375939849623</v>
      </c>
      <c r="AC9" s="8">
        <f t="shared" si="2"/>
        <v>0.9</v>
      </c>
      <c r="AD9" s="8">
        <f t="shared" si="3"/>
        <v>1.3666666666666667</v>
      </c>
    </row>
    <row r="10" spans="1:30" ht="15.75" thickBot="1" x14ac:dyDescent="0.3">
      <c r="A10" s="4">
        <v>9</v>
      </c>
      <c r="B10" s="5" t="s">
        <v>35</v>
      </c>
      <c r="C10" s="5" t="s">
        <v>27</v>
      </c>
      <c r="D10" s="6">
        <v>6</v>
      </c>
      <c r="E10" s="6">
        <v>2</v>
      </c>
      <c r="F10" s="6">
        <v>3.07</v>
      </c>
      <c r="G10" s="6">
        <v>69</v>
      </c>
      <c r="H10" s="6">
        <v>1</v>
      </c>
      <c r="I10" s="6">
        <v>0</v>
      </c>
      <c r="J10" s="6">
        <v>0</v>
      </c>
      <c r="K10" s="6">
        <v>0</v>
      </c>
      <c r="L10" s="6">
        <v>1</v>
      </c>
      <c r="M10" s="6">
        <v>10</v>
      </c>
      <c r="N10" s="6">
        <v>3</v>
      </c>
      <c r="O10" s="6">
        <v>67.099999999999994</v>
      </c>
      <c r="P10" s="6">
        <v>267</v>
      </c>
      <c r="Q10" s="6">
        <v>56</v>
      </c>
      <c r="R10" s="6">
        <v>24</v>
      </c>
      <c r="S10" s="6">
        <v>23</v>
      </c>
      <c r="T10" s="6">
        <v>9</v>
      </c>
      <c r="U10" s="6">
        <v>12</v>
      </c>
      <c r="V10" s="6">
        <v>1</v>
      </c>
      <c r="W10" s="6">
        <v>1</v>
      </c>
      <c r="X10" s="6">
        <v>2</v>
      </c>
      <c r="Y10" s="6">
        <v>0</v>
      </c>
      <c r="Z10" s="6">
        <v>61</v>
      </c>
      <c r="AA10" s="7">
        <f t="shared" si="0"/>
        <v>0.22846441947565543</v>
      </c>
      <c r="AB10" s="7">
        <f t="shared" si="1"/>
        <v>4.49438202247191E-2</v>
      </c>
      <c r="AC10" s="8">
        <f t="shared" si="2"/>
        <v>1.2071535022354696</v>
      </c>
      <c r="AD10" s="8">
        <f t="shared" si="3"/>
        <v>1.0134128166915053</v>
      </c>
    </row>
    <row r="11" spans="1:30" ht="15.75" thickBot="1" x14ac:dyDescent="0.3">
      <c r="A11" s="4">
        <v>10</v>
      </c>
      <c r="B11" s="5" t="s">
        <v>36</v>
      </c>
      <c r="C11" s="5" t="s">
        <v>27</v>
      </c>
      <c r="D11" s="6">
        <v>2</v>
      </c>
      <c r="E11" s="6">
        <v>4</v>
      </c>
      <c r="F11" s="6">
        <v>8.23</v>
      </c>
      <c r="G11" s="6">
        <v>49</v>
      </c>
      <c r="H11" s="6">
        <v>0</v>
      </c>
      <c r="I11" s="6">
        <v>0</v>
      </c>
      <c r="J11" s="6">
        <v>0</v>
      </c>
      <c r="K11" s="6">
        <v>0</v>
      </c>
      <c r="L11" s="6">
        <v>8</v>
      </c>
      <c r="M11" s="6">
        <v>7</v>
      </c>
      <c r="N11" s="6">
        <v>3</v>
      </c>
      <c r="O11" s="6">
        <v>42.2</v>
      </c>
      <c r="P11" s="6">
        <v>187</v>
      </c>
      <c r="Q11" s="6">
        <v>45</v>
      </c>
      <c r="R11" s="6">
        <v>40</v>
      </c>
      <c r="S11" s="6">
        <v>39</v>
      </c>
      <c r="T11" s="6">
        <v>10</v>
      </c>
      <c r="U11" s="6">
        <v>17</v>
      </c>
      <c r="V11" s="6">
        <v>1</v>
      </c>
      <c r="W11" s="6">
        <v>3</v>
      </c>
      <c r="X11" s="6">
        <v>0</v>
      </c>
      <c r="Y11" s="6">
        <v>1</v>
      </c>
      <c r="Z11" s="6">
        <v>47</v>
      </c>
      <c r="AA11" s="7">
        <f t="shared" si="0"/>
        <v>0.25133689839572193</v>
      </c>
      <c r="AB11" s="7">
        <f t="shared" si="1"/>
        <v>9.0909090909090912E-2</v>
      </c>
      <c r="AC11" s="8">
        <f t="shared" si="2"/>
        <v>2.1327014218009479</v>
      </c>
      <c r="AD11" s="8">
        <f t="shared" si="3"/>
        <v>1.4691943127962084</v>
      </c>
    </row>
    <row r="12" spans="1:30" ht="15.75" thickBot="1" x14ac:dyDescent="0.3">
      <c r="A12" s="4">
        <v>11</v>
      </c>
      <c r="B12" s="5" t="s">
        <v>37</v>
      </c>
      <c r="C12" s="5" t="s">
        <v>27</v>
      </c>
      <c r="D12" s="6">
        <v>2</v>
      </c>
      <c r="E12" s="6">
        <v>1</v>
      </c>
      <c r="F12" s="6">
        <v>5.12</v>
      </c>
      <c r="G12" s="6">
        <v>37</v>
      </c>
      <c r="H12" s="6">
        <v>1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2</v>
      </c>
      <c r="O12" s="6">
        <v>51</v>
      </c>
      <c r="P12" s="6">
        <v>228</v>
      </c>
      <c r="Q12" s="6">
        <v>57</v>
      </c>
      <c r="R12" s="6">
        <v>30</v>
      </c>
      <c r="S12" s="6">
        <v>29</v>
      </c>
      <c r="T12" s="6">
        <v>8</v>
      </c>
      <c r="U12" s="6">
        <v>18</v>
      </c>
      <c r="V12" s="6">
        <v>1</v>
      </c>
      <c r="W12" s="6">
        <v>3</v>
      </c>
      <c r="X12" s="6">
        <v>0</v>
      </c>
      <c r="Y12" s="6">
        <v>0</v>
      </c>
      <c r="Z12" s="6">
        <v>39</v>
      </c>
      <c r="AA12" s="7">
        <f t="shared" si="0"/>
        <v>0.17105263157894737</v>
      </c>
      <c r="AB12" s="7">
        <f t="shared" si="1"/>
        <v>7.8947368421052627E-2</v>
      </c>
      <c r="AC12" s="8">
        <f t="shared" si="2"/>
        <v>1.411764705882353</v>
      </c>
      <c r="AD12" s="8">
        <f t="shared" si="3"/>
        <v>1.4705882352941178</v>
      </c>
    </row>
    <row r="13" spans="1:30" ht="15.75" thickBot="1" x14ac:dyDescent="0.3">
      <c r="A13" s="4">
        <v>12</v>
      </c>
      <c r="B13" s="5" t="s">
        <v>38</v>
      </c>
      <c r="C13" s="5" t="s">
        <v>27</v>
      </c>
      <c r="D13" s="6">
        <v>4</v>
      </c>
      <c r="E13" s="6">
        <v>2</v>
      </c>
      <c r="F13" s="6">
        <v>3.81</v>
      </c>
      <c r="G13" s="6">
        <v>28</v>
      </c>
      <c r="H13" s="6">
        <v>0</v>
      </c>
      <c r="I13" s="6">
        <v>0</v>
      </c>
      <c r="J13" s="6">
        <v>0</v>
      </c>
      <c r="K13" s="6">
        <v>0</v>
      </c>
      <c r="L13" s="6">
        <v>7</v>
      </c>
      <c r="M13" s="6">
        <v>5</v>
      </c>
      <c r="N13" s="6">
        <v>1</v>
      </c>
      <c r="O13" s="6">
        <v>26</v>
      </c>
      <c r="P13" s="6">
        <v>114</v>
      </c>
      <c r="Q13" s="6">
        <v>27</v>
      </c>
      <c r="R13" s="6">
        <v>12</v>
      </c>
      <c r="S13" s="6">
        <v>11</v>
      </c>
      <c r="T13" s="6">
        <v>4</v>
      </c>
      <c r="U13" s="6">
        <v>7</v>
      </c>
      <c r="V13" s="6">
        <v>0</v>
      </c>
      <c r="W13" s="6">
        <v>1</v>
      </c>
      <c r="X13" s="6">
        <v>3</v>
      </c>
      <c r="Y13" s="6">
        <v>0</v>
      </c>
      <c r="Z13" s="6">
        <v>32</v>
      </c>
      <c r="AA13" s="7">
        <f t="shared" si="0"/>
        <v>0.2807017543859649</v>
      </c>
      <c r="AB13" s="7">
        <f t="shared" si="1"/>
        <v>6.1403508771929821E-2</v>
      </c>
      <c r="AC13" s="8">
        <f t="shared" si="2"/>
        <v>1.3846153846153846</v>
      </c>
      <c r="AD13" s="8">
        <f t="shared" si="3"/>
        <v>1.3076923076923077</v>
      </c>
    </row>
    <row r="14" spans="1:30" ht="15.75" thickBot="1" x14ac:dyDescent="0.3">
      <c r="A14" s="4">
        <v>13</v>
      </c>
      <c r="B14" s="5" t="s">
        <v>39</v>
      </c>
      <c r="C14" s="5" t="s">
        <v>27</v>
      </c>
      <c r="D14" s="6">
        <v>1</v>
      </c>
      <c r="E14" s="6">
        <v>2</v>
      </c>
      <c r="F14" s="6">
        <v>2.1800000000000002</v>
      </c>
      <c r="G14" s="6">
        <v>23</v>
      </c>
      <c r="H14" s="6">
        <v>0</v>
      </c>
      <c r="I14" s="6">
        <v>0</v>
      </c>
      <c r="J14" s="6">
        <v>0</v>
      </c>
      <c r="K14" s="6">
        <v>0</v>
      </c>
      <c r="L14" s="6">
        <v>16</v>
      </c>
      <c r="M14" s="6">
        <v>0</v>
      </c>
      <c r="N14" s="6">
        <v>3</v>
      </c>
      <c r="O14" s="6">
        <v>20.2</v>
      </c>
      <c r="P14" s="6">
        <v>81</v>
      </c>
      <c r="Q14" s="6">
        <v>18</v>
      </c>
      <c r="R14" s="6">
        <v>6</v>
      </c>
      <c r="S14" s="6">
        <v>5</v>
      </c>
      <c r="T14" s="6">
        <v>2</v>
      </c>
      <c r="U14" s="6">
        <v>1</v>
      </c>
      <c r="V14" s="6">
        <v>0</v>
      </c>
      <c r="W14" s="6">
        <v>0</v>
      </c>
      <c r="X14" s="6">
        <v>1</v>
      </c>
      <c r="Y14" s="6">
        <v>0</v>
      </c>
      <c r="Z14" s="6">
        <v>27</v>
      </c>
      <c r="AA14" s="7">
        <f t="shared" si="0"/>
        <v>0.33333333333333331</v>
      </c>
      <c r="AB14" s="7">
        <f t="shared" si="1"/>
        <v>1.2345679012345678E-2</v>
      </c>
      <c r="AC14" s="8">
        <f t="shared" si="2"/>
        <v>0.8910891089108911</v>
      </c>
      <c r="AD14" s="8">
        <f t="shared" si="3"/>
        <v>0.94059405940594065</v>
      </c>
    </row>
    <row r="15" spans="1:30" ht="15.75" thickBot="1" x14ac:dyDescent="0.3">
      <c r="A15" s="4">
        <v>14</v>
      </c>
      <c r="B15" s="5" t="s">
        <v>40</v>
      </c>
      <c r="C15" s="5" t="s">
        <v>27</v>
      </c>
      <c r="D15" s="6">
        <v>1</v>
      </c>
      <c r="E15" s="6">
        <v>1</v>
      </c>
      <c r="F15" s="6">
        <v>4.79</v>
      </c>
      <c r="G15" s="6">
        <v>36</v>
      </c>
      <c r="H15" s="6">
        <v>0</v>
      </c>
      <c r="I15" s="6">
        <v>0</v>
      </c>
      <c r="J15" s="6">
        <v>0</v>
      </c>
      <c r="K15" s="6">
        <v>0</v>
      </c>
      <c r="L15" s="6">
        <v>1</v>
      </c>
      <c r="M15" s="6">
        <v>1</v>
      </c>
      <c r="N15" s="6">
        <v>0</v>
      </c>
      <c r="O15" s="6">
        <v>41.1</v>
      </c>
      <c r="P15" s="6">
        <v>170</v>
      </c>
      <c r="Q15" s="6">
        <v>41</v>
      </c>
      <c r="R15" s="6">
        <v>23</v>
      </c>
      <c r="S15" s="6">
        <v>22</v>
      </c>
      <c r="T15" s="6">
        <v>7</v>
      </c>
      <c r="U15" s="6">
        <v>12</v>
      </c>
      <c r="V15" s="6">
        <v>0</v>
      </c>
      <c r="W15" s="6">
        <v>0</v>
      </c>
      <c r="X15" s="6">
        <v>3</v>
      </c>
      <c r="Y15" s="6">
        <v>0</v>
      </c>
      <c r="Z15" s="6">
        <v>26</v>
      </c>
      <c r="AA15" s="7">
        <f t="shared" si="0"/>
        <v>0.15294117647058825</v>
      </c>
      <c r="AB15" s="7">
        <f t="shared" si="1"/>
        <v>7.0588235294117646E-2</v>
      </c>
      <c r="AC15" s="8">
        <f t="shared" si="2"/>
        <v>1.5328467153284671</v>
      </c>
      <c r="AD15" s="8">
        <f t="shared" si="3"/>
        <v>1.2895377128953771</v>
      </c>
    </row>
    <row r="16" spans="1:30" ht="15.75" thickBot="1" x14ac:dyDescent="0.3">
      <c r="A16" s="4">
        <v>15</v>
      </c>
      <c r="B16" s="5" t="s">
        <v>41</v>
      </c>
      <c r="C16" s="5" t="s">
        <v>27</v>
      </c>
      <c r="D16" s="6">
        <v>1</v>
      </c>
      <c r="E16" s="6">
        <v>0</v>
      </c>
      <c r="F16" s="6">
        <v>5.26</v>
      </c>
      <c r="G16" s="6">
        <v>25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1</v>
      </c>
      <c r="N16" s="6">
        <v>0</v>
      </c>
      <c r="O16" s="6">
        <v>25.2</v>
      </c>
      <c r="P16" s="6">
        <v>123</v>
      </c>
      <c r="Q16" s="6">
        <v>32</v>
      </c>
      <c r="R16" s="6">
        <v>16</v>
      </c>
      <c r="S16" s="6">
        <v>15</v>
      </c>
      <c r="T16" s="6">
        <v>4</v>
      </c>
      <c r="U16" s="6">
        <v>13</v>
      </c>
      <c r="V16" s="6">
        <v>1</v>
      </c>
      <c r="W16" s="6">
        <v>2</v>
      </c>
      <c r="X16" s="6">
        <v>1</v>
      </c>
      <c r="Y16" s="6">
        <v>0</v>
      </c>
      <c r="Z16" s="6">
        <v>23</v>
      </c>
      <c r="AA16" s="7">
        <f t="shared" si="0"/>
        <v>0.18699186991869918</v>
      </c>
      <c r="AB16" s="7">
        <f t="shared" si="1"/>
        <v>0.10569105691056911</v>
      </c>
      <c r="AC16" s="8">
        <f t="shared" si="2"/>
        <v>1.4285714285714286</v>
      </c>
      <c r="AD16" s="8">
        <f t="shared" si="3"/>
        <v>1.7857142857142858</v>
      </c>
    </row>
    <row r="17" spans="1:30" ht="15.75" thickBot="1" x14ac:dyDescent="0.3">
      <c r="A17" s="4">
        <v>16</v>
      </c>
      <c r="B17" s="5" t="s">
        <v>42</v>
      </c>
      <c r="C17" s="5" t="s">
        <v>27</v>
      </c>
      <c r="D17" s="6">
        <v>2</v>
      </c>
      <c r="E17" s="6">
        <v>0</v>
      </c>
      <c r="F17" s="6">
        <v>4.08</v>
      </c>
      <c r="G17" s="6">
        <v>20</v>
      </c>
      <c r="H17" s="6">
        <v>0</v>
      </c>
      <c r="I17" s="6">
        <v>0</v>
      </c>
      <c r="J17" s="6">
        <v>0</v>
      </c>
      <c r="K17" s="6">
        <v>0</v>
      </c>
      <c r="L17" s="6">
        <v>2</v>
      </c>
      <c r="M17" s="6">
        <v>10</v>
      </c>
      <c r="N17" s="6">
        <v>1</v>
      </c>
      <c r="O17" s="6">
        <v>17.2</v>
      </c>
      <c r="P17" s="6">
        <v>78</v>
      </c>
      <c r="Q17" s="6">
        <v>18</v>
      </c>
      <c r="R17" s="6">
        <v>9</v>
      </c>
      <c r="S17" s="6">
        <v>8</v>
      </c>
      <c r="T17" s="6">
        <v>4</v>
      </c>
      <c r="U17" s="6">
        <v>8</v>
      </c>
      <c r="V17" s="6">
        <v>1</v>
      </c>
      <c r="W17" s="6">
        <v>0</v>
      </c>
      <c r="X17" s="6">
        <v>0</v>
      </c>
      <c r="Y17" s="6">
        <v>0</v>
      </c>
      <c r="Z17" s="6">
        <v>22</v>
      </c>
      <c r="AA17" s="7">
        <f t="shared" si="0"/>
        <v>0.28205128205128205</v>
      </c>
      <c r="AB17" s="7">
        <f t="shared" si="1"/>
        <v>0.10256410256410256</v>
      </c>
      <c r="AC17" s="8">
        <f t="shared" si="2"/>
        <v>2.0930232558139537</v>
      </c>
      <c r="AD17" s="8">
        <f t="shared" si="3"/>
        <v>1.5116279069767442</v>
      </c>
    </row>
    <row r="18" spans="1:30" ht="15.75" thickBot="1" x14ac:dyDescent="0.3">
      <c r="A18" s="4">
        <v>17</v>
      </c>
      <c r="B18" s="5" t="s">
        <v>43</v>
      </c>
      <c r="C18" s="5" t="s">
        <v>27</v>
      </c>
      <c r="D18" s="6">
        <v>2</v>
      </c>
      <c r="E18" s="6">
        <v>2</v>
      </c>
      <c r="F18" s="6">
        <v>5.04</v>
      </c>
      <c r="G18" s="6">
        <v>6</v>
      </c>
      <c r="H18" s="6">
        <v>6</v>
      </c>
      <c r="I18" s="6">
        <v>1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25</v>
      </c>
      <c r="P18" s="6">
        <v>108</v>
      </c>
      <c r="Q18" s="6">
        <v>25</v>
      </c>
      <c r="R18" s="6">
        <v>14</v>
      </c>
      <c r="S18" s="6">
        <v>14</v>
      </c>
      <c r="T18" s="6">
        <v>7</v>
      </c>
      <c r="U18" s="6">
        <v>9</v>
      </c>
      <c r="V18" s="6">
        <v>0</v>
      </c>
      <c r="W18" s="6">
        <v>1</v>
      </c>
      <c r="X18" s="6">
        <v>2</v>
      </c>
      <c r="Y18" s="6">
        <v>0</v>
      </c>
      <c r="Z18" s="6">
        <v>21</v>
      </c>
      <c r="AA18" s="7">
        <f t="shared" si="0"/>
        <v>0.19444444444444445</v>
      </c>
      <c r="AB18" s="7">
        <f t="shared" si="1"/>
        <v>8.3333333333333329E-2</v>
      </c>
      <c r="AC18" s="8">
        <f t="shared" si="2"/>
        <v>2.52</v>
      </c>
      <c r="AD18" s="8">
        <f t="shared" si="3"/>
        <v>1.36</v>
      </c>
    </row>
    <row r="19" spans="1:30" ht="15.75" thickBot="1" x14ac:dyDescent="0.3">
      <c r="A19" s="4">
        <v>18</v>
      </c>
      <c r="B19" s="5" t="s">
        <v>44</v>
      </c>
      <c r="C19" s="5" t="s">
        <v>27</v>
      </c>
      <c r="D19" s="6">
        <v>1</v>
      </c>
      <c r="E19" s="6">
        <v>1</v>
      </c>
      <c r="F19" s="6">
        <v>4.26</v>
      </c>
      <c r="G19" s="6">
        <v>10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12.2</v>
      </c>
      <c r="P19" s="6">
        <v>54</v>
      </c>
      <c r="Q19" s="6">
        <v>11</v>
      </c>
      <c r="R19" s="6">
        <v>8</v>
      </c>
      <c r="S19" s="6">
        <v>6</v>
      </c>
      <c r="T19" s="6">
        <v>3</v>
      </c>
      <c r="U19" s="6">
        <v>4</v>
      </c>
      <c r="V19" s="6">
        <v>0</v>
      </c>
      <c r="W19" s="6">
        <v>0</v>
      </c>
      <c r="X19" s="6">
        <v>1</v>
      </c>
      <c r="Y19" s="6">
        <v>0</v>
      </c>
      <c r="Z19" s="6">
        <v>17</v>
      </c>
      <c r="AA19" s="7">
        <f t="shared" si="0"/>
        <v>0.31481481481481483</v>
      </c>
      <c r="AB19" s="7">
        <f t="shared" si="1"/>
        <v>7.407407407407407E-2</v>
      </c>
      <c r="AC19" s="8">
        <f t="shared" si="2"/>
        <v>2.2131147540983607</v>
      </c>
      <c r="AD19" s="8">
        <f t="shared" si="3"/>
        <v>1.2295081967213115</v>
      </c>
    </row>
    <row r="20" spans="1:30" ht="15.75" thickBot="1" x14ac:dyDescent="0.3">
      <c r="A20" s="4">
        <v>19</v>
      </c>
      <c r="B20" s="5" t="s">
        <v>45</v>
      </c>
      <c r="C20" s="5" t="s">
        <v>27</v>
      </c>
      <c r="D20" s="6">
        <v>0</v>
      </c>
      <c r="E20" s="6">
        <v>0</v>
      </c>
      <c r="F20" s="6">
        <v>4.1500000000000004</v>
      </c>
      <c r="G20" s="6">
        <v>15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2</v>
      </c>
      <c r="N20" s="6">
        <v>0</v>
      </c>
      <c r="O20" s="6">
        <v>13</v>
      </c>
      <c r="P20" s="6">
        <v>59</v>
      </c>
      <c r="Q20" s="6">
        <v>11</v>
      </c>
      <c r="R20" s="6">
        <v>7</v>
      </c>
      <c r="S20" s="6">
        <v>6</v>
      </c>
      <c r="T20" s="6">
        <v>2</v>
      </c>
      <c r="U20" s="6">
        <v>10</v>
      </c>
      <c r="V20" s="6">
        <v>0</v>
      </c>
      <c r="W20" s="6">
        <v>0</v>
      </c>
      <c r="X20" s="6">
        <v>0</v>
      </c>
      <c r="Y20" s="6">
        <v>0</v>
      </c>
      <c r="Z20" s="6">
        <v>15</v>
      </c>
      <c r="AA20" s="7">
        <f t="shared" si="0"/>
        <v>0.25423728813559321</v>
      </c>
      <c r="AB20" s="7">
        <f t="shared" si="1"/>
        <v>0.16949152542372881</v>
      </c>
      <c r="AC20" s="8">
        <f t="shared" si="2"/>
        <v>1.3846153846153846</v>
      </c>
      <c r="AD20" s="8">
        <f t="shared" si="3"/>
        <v>1.6153846153846154</v>
      </c>
    </row>
    <row r="21" spans="1:30" ht="15.75" thickBot="1" x14ac:dyDescent="0.3">
      <c r="A21" s="4">
        <v>20</v>
      </c>
      <c r="B21" s="5" t="s">
        <v>46</v>
      </c>
      <c r="C21" s="5" t="s">
        <v>27</v>
      </c>
      <c r="D21" s="6">
        <v>1</v>
      </c>
      <c r="E21" s="6">
        <v>0</v>
      </c>
      <c r="F21" s="6">
        <v>8.16</v>
      </c>
      <c r="G21" s="6">
        <v>16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3</v>
      </c>
      <c r="N21" s="6">
        <v>0</v>
      </c>
      <c r="O21" s="6">
        <v>14.1</v>
      </c>
      <c r="P21" s="6">
        <v>68</v>
      </c>
      <c r="Q21" s="6">
        <v>21</v>
      </c>
      <c r="R21" s="6">
        <v>14</v>
      </c>
      <c r="S21" s="6">
        <v>13</v>
      </c>
      <c r="T21" s="6">
        <v>3</v>
      </c>
      <c r="U21" s="6">
        <v>6</v>
      </c>
      <c r="V21" s="6">
        <v>0</v>
      </c>
      <c r="W21" s="6">
        <v>0</v>
      </c>
      <c r="X21" s="6">
        <v>0</v>
      </c>
      <c r="Y21" s="6">
        <v>0</v>
      </c>
      <c r="Z21" s="6">
        <v>12</v>
      </c>
      <c r="AA21" s="7">
        <f t="shared" si="0"/>
        <v>0.17647058823529413</v>
      </c>
      <c r="AB21" s="7">
        <f t="shared" si="1"/>
        <v>8.8235294117647065E-2</v>
      </c>
      <c r="AC21" s="8">
        <f t="shared" si="2"/>
        <v>1.9148936170212767</v>
      </c>
      <c r="AD21" s="8">
        <f t="shared" si="3"/>
        <v>1.9148936170212767</v>
      </c>
    </row>
    <row r="22" spans="1:30" ht="15.75" thickBot="1" x14ac:dyDescent="0.3">
      <c r="A22" s="4">
        <v>21</v>
      </c>
      <c r="B22" s="5" t="s">
        <v>47</v>
      </c>
      <c r="C22" s="5" t="s">
        <v>27</v>
      </c>
      <c r="D22" s="6">
        <v>0</v>
      </c>
      <c r="E22" s="6">
        <v>1</v>
      </c>
      <c r="F22" s="6">
        <v>2</v>
      </c>
      <c r="G22" s="6">
        <v>10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9</v>
      </c>
      <c r="P22" s="6">
        <v>38</v>
      </c>
      <c r="Q22" s="6">
        <v>6</v>
      </c>
      <c r="R22" s="6">
        <v>3</v>
      </c>
      <c r="S22" s="6">
        <v>2</v>
      </c>
      <c r="T22" s="6">
        <v>0</v>
      </c>
      <c r="U22" s="6">
        <v>5</v>
      </c>
      <c r="V22" s="6">
        <v>0</v>
      </c>
      <c r="W22" s="6">
        <v>1</v>
      </c>
      <c r="X22" s="6">
        <v>1</v>
      </c>
      <c r="Y22" s="6">
        <v>0</v>
      </c>
      <c r="Z22" s="6">
        <v>8</v>
      </c>
      <c r="AA22" s="7">
        <f t="shared" si="0"/>
        <v>0.21052631578947367</v>
      </c>
      <c r="AB22" s="7">
        <f t="shared" si="1"/>
        <v>0.13157894736842105</v>
      </c>
      <c r="AC22" s="8">
        <f t="shared" si="2"/>
        <v>0</v>
      </c>
      <c r="AD22" s="8">
        <f t="shared" si="3"/>
        <v>1.2222222222222223</v>
      </c>
    </row>
    <row r="23" spans="1:30" ht="15.75" thickBot="1" x14ac:dyDescent="0.3">
      <c r="A23" s="4">
        <v>22</v>
      </c>
      <c r="B23" s="5" t="s">
        <v>48</v>
      </c>
      <c r="C23" s="5" t="s">
        <v>27</v>
      </c>
      <c r="D23" s="6">
        <v>3</v>
      </c>
      <c r="E23" s="6">
        <v>0</v>
      </c>
      <c r="F23" s="6">
        <v>0.66</v>
      </c>
      <c r="G23" s="6">
        <v>3</v>
      </c>
      <c r="H23" s="6">
        <v>2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13.2</v>
      </c>
      <c r="P23" s="6">
        <v>57</v>
      </c>
      <c r="Q23" s="6">
        <v>10</v>
      </c>
      <c r="R23" s="6">
        <v>1</v>
      </c>
      <c r="S23" s="6">
        <v>1</v>
      </c>
      <c r="T23" s="6">
        <v>0</v>
      </c>
      <c r="U23" s="6">
        <v>6</v>
      </c>
      <c r="V23" s="6">
        <v>0</v>
      </c>
      <c r="W23" s="6">
        <v>2</v>
      </c>
      <c r="X23" s="6">
        <v>0</v>
      </c>
      <c r="Y23" s="6">
        <v>0</v>
      </c>
      <c r="Z23" s="6">
        <v>8</v>
      </c>
      <c r="AA23" s="7">
        <f t="shared" si="0"/>
        <v>0.14035087719298245</v>
      </c>
      <c r="AB23" s="7">
        <f t="shared" si="1"/>
        <v>0.10526315789473684</v>
      </c>
      <c r="AC23" s="8">
        <f t="shared" si="2"/>
        <v>0</v>
      </c>
      <c r="AD23" s="8">
        <f t="shared" si="3"/>
        <v>1.2121212121212122</v>
      </c>
    </row>
    <row r="24" spans="1:30" ht="15.75" thickBot="1" x14ac:dyDescent="0.3">
      <c r="A24" s="4">
        <v>23</v>
      </c>
      <c r="B24" s="5" t="s">
        <v>49</v>
      </c>
      <c r="C24" s="5" t="s">
        <v>27</v>
      </c>
      <c r="D24" s="6">
        <v>0</v>
      </c>
      <c r="E24" s="6">
        <v>0</v>
      </c>
      <c r="F24" s="6">
        <v>2.4500000000000002</v>
      </c>
      <c r="G24" s="6">
        <v>5</v>
      </c>
      <c r="H24" s="6">
        <v>0</v>
      </c>
      <c r="I24" s="6">
        <v>0</v>
      </c>
      <c r="J24" s="6">
        <v>0</v>
      </c>
      <c r="K24" s="6">
        <v>0</v>
      </c>
      <c r="L24" s="6">
        <v>1</v>
      </c>
      <c r="M24" s="6">
        <v>0</v>
      </c>
      <c r="N24" s="6">
        <v>0</v>
      </c>
      <c r="O24" s="6">
        <v>11</v>
      </c>
      <c r="P24" s="6">
        <v>46</v>
      </c>
      <c r="Q24" s="6">
        <v>10</v>
      </c>
      <c r="R24" s="6">
        <v>3</v>
      </c>
      <c r="S24" s="6">
        <v>3</v>
      </c>
      <c r="T24" s="6">
        <v>1</v>
      </c>
      <c r="U24" s="6">
        <v>6</v>
      </c>
      <c r="V24" s="6">
        <v>0</v>
      </c>
      <c r="W24" s="6">
        <v>0</v>
      </c>
      <c r="X24" s="6">
        <v>0</v>
      </c>
      <c r="Y24" s="6">
        <v>1</v>
      </c>
      <c r="Z24" s="6">
        <v>8</v>
      </c>
      <c r="AA24" s="7">
        <f t="shared" si="0"/>
        <v>0.17391304347826086</v>
      </c>
      <c r="AB24" s="7">
        <f t="shared" si="1"/>
        <v>0.13043478260869565</v>
      </c>
      <c r="AC24" s="8">
        <f t="shared" si="2"/>
        <v>0.81818181818181823</v>
      </c>
      <c r="AD24" s="8">
        <f t="shared" si="3"/>
        <v>1.4545454545454546</v>
      </c>
    </row>
    <row r="25" spans="1:30" ht="15.75" thickBot="1" x14ac:dyDescent="0.3">
      <c r="A25" s="4">
        <v>24</v>
      </c>
      <c r="B25" s="5" t="s">
        <v>50</v>
      </c>
      <c r="C25" s="5" t="s">
        <v>27</v>
      </c>
      <c r="D25" s="6">
        <v>0</v>
      </c>
      <c r="E25" s="6">
        <v>0</v>
      </c>
      <c r="F25" s="6">
        <v>4.91</v>
      </c>
      <c r="G25" s="6">
        <v>8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7.1</v>
      </c>
      <c r="P25" s="6">
        <v>34</v>
      </c>
      <c r="Q25" s="6">
        <v>8</v>
      </c>
      <c r="R25" s="6">
        <v>4</v>
      </c>
      <c r="S25" s="6">
        <v>4</v>
      </c>
      <c r="T25" s="6">
        <v>1</v>
      </c>
      <c r="U25" s="6">
        <v>4</v>
      </c>
      <c r="V25" s="6">
        <v>0</v>
      </c>
      <c r="W25" s="6">
        <v>1</v>
      </c>
      <c r="X25" s="6">
        <v>1</v>
      </c>
      <c r="Y25" s="6">
        <v>0</v>
      </c>
      <c r="Z25" s="6">
        <v>7</v>
      </c>
      <c r="AA25" s="7">
        <f t="shared" si="0"/>
        <v>0.20588235294117646</v>
      </c>
      <c r="AB25" s="7">
        <f t="shared" si="1"/>
        <v>0.11764705882352941</v>
      </c>
      <c r="AC25" s="8">
        <f t="shared" si="2"/>
        <v>1.267605633802817</v>
      </c>
      <c r="AD25" s="8">
        <f t="shared" si="3"/>
        <v>1.6901408450704227</v>
      </c>
    </row>
    <row r="26" spans="1:30" ht="15.75" thickBot="1" x14ac:dyDescent="0.3">
      <c r="A26" s="4">
        <v>25</v>
      </c>
      <c r="B26" s="5" t="s">
        <v>51</v>
      </c>
      <c r="C26" s="5" t="s">
        <v>27</v>
      </c>
      <c r="D26" s="6">
        <v>0</v>
      </c>
      <c r="E26" s="6">
        <v>0</v>
      </c>
      <c r="F26" s="6">
        <v>15</v>
      </c>
      <c r="G26" s="6">
        <v>3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3</v>
      </c>
      <c r="P26" s="6">
        <v>20</v>
      </c>
      <c r="Q26" s="6">
        <v>7</v>
      </c>
      <c r="R26" s="6">
        <v>5</v>
      </c>
      <c r="S26" s="6">
        <v>5</v>
      </c>
      <c r="T26" s="6">
        <v>1</v>
      </c>
      <c r="U26" s="6">
        <v>4</v>
      </c>
      <c r="V26" s="6">
        <v>0</v>
      </c>
      <c r="W26" s="6">
        <v>0</v>
      </c>
      <c r="X26" s="6">
        <v>0</v>
      </c>
      <c r="Y26" s="6">
        <v>0</v>
      </c>
      <c r="Z26" s="6">
        <v>4</v>
      </c>
      <c r="AA26" s="7">
        <f t="shared" si="0"/>
        <v>0.2</v>
      </c>
      <c r="AB26" s="7">
        <f t="shared" si="1"/>
        <v>0.2</v>
      </c>
      <c r="AC26" s="8">
        <f t="shared" si="2"/>
        <v>3</v>
      </c>
      <c r="AD26" s="8">
        <f t="shared" si="3"/>
        <v>3.6666666666666665</v>
      </c>
    </row>
    <row r="27" spans="1:30" ht="15.75" thickBot="1" x14ac:dyDescent="0.3">
      <c r="A27" s="4">
        <v>26</v>
      </c>
      <c r="B27" s="5" t="s">
        <v>52</v>
      </c>
      <c r="C27" s="5" t="s">
        <v>27</v>
      </c>
      <c r="D27" s="6">
        <v>0</v>
      </c>
      <c r="E27" s="6">
        <v>0</v>
      </c>
      <c r="F27" s="6">
        <v>27</v>
      </c>
      <c r="G27" s="6">
        <v>1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1</v>
      </c>
      <c r="P27" s="6">
        <v>7</v>
      </c>
      <c r="Q27" s="6">
        <v>3</v>
      </c>
      <c r="R27" s="6">
        <v>3</v>
      </c>
      <c r="S27" s="6">
        <v>3</v>
      </c>
      <c r="T27" s="6">
        <v>0</v>
      </c>
      <c r="U27" s="6">
        <v>1</v>
      </c>
      <c r="V27" s="6">
        <v>0</v>
      </c>
      <c r="W27" s="6">
        <v>0</v>
      </c>
      <c r="X27" s="6">
        <v>1</v>
      </c>
      <c r="Y27" s="6">
        <v>0</v>
      </c>
      <c r="Z27" s="6">
        <v>2</v>
      </c>
      <c r="AA27" s="7">
        <f t="shared" si="0"/>
        <v>0.2857142857142857</v>
      </c>
      <c r="AB27" s="7">
        <f t="shared" si="1"/>
        <v>0.14285714285714285</v>
      </c>
      <c r="AC27" s="8">
        <f t="shared" si="2"/>
        <v>0</v>
      </c>
      <c r="AD27" s="8">
        <f t="shared" si="3"/>
        <v>4</v>
      </c>
    </row>
    <row r="28" spans="1:30" ht="15.75" thickBot="1" x14ac:dyDescent="0.3">
      <c r="A28" s="4">
        <v>27</v>
      </c>
      <c r="B28" s="5" t="s">
        <v>53</v>
      </c>
      <c r="C28" s="5" t="s">
        <v>27</v>
      </c>
      <c r="D28" s="6">
        <v>0</v>
      </c>
      <c r="E28" s="6">
        <v>0</v>
      </c>
      <c r="F28" s="6">
        <v>0</v>
      </c>
      <c r="G28" s="6">
        <v>2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3</v>
      </c>
      <c r="P28" s="6">
        <v>12</v>
      </c>
      <c r="Q28" s="6">
        <v>3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7">
        <f t="shared" si="0"/>
        <v>0</v>
      </c>
      <c r="AB28" s="7">
        <f t="shared" si="1"/>
        <v>0</v>
      </c>
      <c r="AC28" s="8">
        <f t="shared" si="2"/>
        <v>0</v>
      </c>
      <c r="AD28" s="8">
        <f t="shared" si="3"/>
        <v>1</v>
      </c>
    </row>
    <row r="29" spans="1:30" ht="15.75" thickBot="1" x14ac:dyDescent="0.3">
      <c r="A29" s="4">
        <v>28</v>
      </c>
      <c r="B29" s="5" t="s">
        <v>54</v>
      </c>
      <c r="C29" s="5" t="s">
        <v>27</v>
      </c>
      <c r="D29" s="6">
        <v>0</v>
      </c>
      <c r="E29" s="6">
        <v>0</v>
      </c>
      <c r="F29" s="6">
        <v>4.5</v>
      </c>
      <c r="G29" s="6">
        <v>1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2</v>
      </c>
      <c r="P29" s="6">
        <v>10</v>
      </c>
      <c r="Q29" s="6">
        <v>1</v>
      </c>
      <c r="R29" s="6">
        <v>1</v>
      </c>
      <c r="S29" s="6">
        <v>1</v>
      </c>
      <c r="T29" s="6">
        <v>0</v>
      </c>
      <c r="U29" s="6">
        <v>3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7">
        <f t="shared" si="0"/>
        <v>0</v>
      </c>
      <c r="AB29" s="7">
        <f t="shared" si="1"/>
        <v>0.3</v>
      </c>
      <c r="AC29" s="8">
        <f t="shared" si="2"/>
        <v>0</v>
      </c>
      <c r="AD29" s="8">
        <f t="shared" si="3"/>
        <v>2</v>
      </c>
    </row>
  </sheetData>
  <hyperlinks>
    <hyperlink ref="B2" r:id="rId1" display="https://www.fangraphs.com/players/jesus-luzardo/19959/stats?position=P" xr:uid="{838B2078-2C57-47E5-A4DB-84E0427725DD}"/>
    <hyperlink ref="C2" r:id="rId2" display="https://www.fangraphs.com/leaders/major-league?pos=all&amp;stats=pit&amp;utm_source=chatgpt.com&amp;startdate=&amp;enddate=&amp;month=0&amp;season1=2025&amp;season=2025&amp;team=26&amp;type=0&amp;qual=0" xr:uid="{513CFAC5-2219-4D01-A42C-870D28B6F2B6}"/>
    <hyperlink ref="B3" r:id="rId3" display="https://www.fangraphs.com/players/cristopher-sanchez/20778/stats?position=P" xr:uid="{54BA1EAB-2DA6-48AE-A94A-AE6F2237C523}"/>
    <hyperlink ref="C3" r:id="rId4" display="https://www.fangraphs.com/leaders/major-league?pos=all&amp;stats=pit&amp;utm_source=chatgpt.com&amp;startdate=&amp;enddate=&amp;month=0&amp;season1=2025&amp;season=2025&amp;team=26&amp;type=0&amp;qual=0" xr:uid="{4DA79DEE-813D-43D8-95A1-00B21410E833}"/>
    <hyperlink ref="B4" r:id="rId5" display="https://www.fangraphs.com/players/zack-wheeler/10310/stats?position=P" xr:uid="{43BCCDCB-704E-431D-B596-EF3D3475A820}"/>
    <hyperlink ref="C4" r:id="rId6" display="https://www.fangraphs.com/leaders/major-league?pos=all&amp;stats=pit&amp;utm_source=chatgpt.com&amp;startdate=&amp;enddate=&amp;month=0&amp;season1=2025&amp;season=2025&amp;team=26&amp;type=0&amp;qual=0" xr:uid="{EF17E2F8-0246-4C1C-80EC-FC54E1ED316F}"/>
    <hyperlink ref="B5" r:id="rId7" display="https://www.fangraphs.com/players/ranger-suarez/17277/stats?position=P" xr:uid="{7C05059F-9949-4244-87A5-FC9D1985A493}"/>
    <hyperlink ref="C5" r:id="rId8" display="https://www.fangraphs.com/leaders/major-league?pos=all&amp;stats=pit&amp;utm_source=chatgpt.com&amp;startdate=&amp;enddate=&amp;month=0&amp;season1=2025&amp;season=2025&amp;team=26&amp;type=0&amp;qual=0" xr:uid="{66E5F4F5-74AF-4183-8ABA-BDB626C1D245}"/>
    <hyperlink ref="B6" r:id="rId9" display="https://www.fangraphs.com/players/aaron-nola/16149/stats?position=P" xr:uid="{E977FB8B-BF98-40F3-9E17-174E9CE377A3}"/>
    <hyperlink ref="C6" r:id="rId10" display="https://www.fangraphs.com/leaders/major-league?pos=all&amp;stats=pit&amp;utm_source=chatgpt.com&amp;startdate=&amp;enddate=&amp;month=0&amp;season1=2025&amp;season=2025&amp;team=26&amp;type=0&amp;qual=0" xr:uid="{182D276D-07D9-451A-A382-D20291C7B64F}"/>
    <hyperlink ref="B7" r:id="rId11" display="https://www.fangraphs.com/players/taijuan-walker/11836/stats?position=P" xr:uid="{2B1079C1-4D4B-47EB-9449-2FB66C8D77BC}"/>
    <hyperlink ref="C7" r:id="rId12" display="https://www.fangraphs.com/leaders/major-league?pos=all&amp;stats=pit&amp;utm_source=chatgpt.com&amp;startdate=&amp;enddate=&amp;month=0&amp;season1=2025&amp;season=2025&amp;team=26&amp;type=0&amp;qual=0" xr:uid="{C2201783-7CBC-4008-A0F3-DD5097164CC7}"/>
    <hyperlink ref="B8" r:id="rId13" display="https://www.fangraphs.com/players/matt-strahm/13799/stats?position=P" xr:uid="{E26394B8-287C-4C99-8D46-17141CA56DBC}"/>
    <hyperlink ref="C8" r:id="rId14" display="https://www.fangraphs.com/leaders/major-league?pos=all&amp;stats=pit&amp;utm_source=chatgpt.com&amp;startdate=&amp;enddate=&amp;month=0&amp;season1=2025&amp;season=2025&amp;team=26&amp;type=0&amp;qual=0" xr:uid="{EB772B5D-49EF-4E76-9EF0-3DA78BB0E870}"/>
    <hyperlink ref="B9" r:id="rId15" display="https://www.fangraphs.com/players/orion-kerkering/31776/stats?position=P" xr:uid="{28793128-CEE0-4BF8-9CE2-5EF6CE704D77}"/>
    <hyperlink ref="C9" r:id="rId16" display="https://www.fangraphs.com/leaders/major-league?pos=all&amp;stats=pit&amp;utm_source=chatgpt.com&amp;startdate=&amp;enddate=&amp;month=0&amp;season1=2025&amp;season=2025&amp;team=26&amp;type=0&amp;qual=0" xr:uid="{1DF6C771-44BD-405B-90E6-A50E532C365E}"/>
    <hyperlink ref="B10" r:id="rId17" display="https://www.fangraphs.com/players/tanner-banks/16990/stats?position=P" xr:uid="{9DAB99F1-CF71-4FF3-ADE4-46DAD56244AF}"/>
    <hyperlink ref="C10" r:id="rId18" display="https://www.fangraphs.com/leaders/major-league?pos=all&amp;stats=pit&amp;utm_source=chatgpt.com&amp;startdate=&amp;enddate=&amp;month=0&amp;season1=2025&amp;season=2025&amp;team=26&amp;type=0&amp;qual=0" xr:uid="{8D9248F4-4A7E-4726-AE3B-EFA60ACAF869}"/>
    <hyperlink ref="B11" r:id="rId19" display="https://www.fangraphs.com/players/jordan-romano/16122/stats?position=P" xr:uid="{AB721159-9089-4ED0-A5FA-5ACC921E0B9A}"/>
    <hyperlink ref="C11" r:id="rId20" display="https://www.fangraphs.com/leaders/major-league?pos=all&amp;stats=pit&amp;utm_source=chatgpt.com&amp;startdate=&amp;enddate=&amp;month=0&amp;season1=2025&amp;season=2025&amp;team=26&amp;type=0&amp;qual=0" xr:uid="{804BFD2E-F6E5-48E7-B260-243556759410}"/>
    <hyperlink ref="B12" r:id="rId21" display="https://www.fangraphs.com/players/joe-ross/12972/stats?position=P" xr:uid="{46E8EE10-1441-49E9-B7EF-0DC69BF6AF50}"/>
    <hyperlink ref="C12" r:id="rId22" display="https://www.fangraphs.com/leaders/major-league?pos=all&amp;stats=pit&amp;utm_source=chatgpt.com&amp;startdate=&amp;enddate=&amp;month=0&amp;season1=2025&amp;season=2025&amp;team=26&amp;type=0&amp;qual=0" xr:uid="{0835AE48-0A18-40FB-83C3-BFEDA7DC3109}"/>
    <hyperlink ref="B13" r:id="rId23" display="https://www.fangraphs.com/players/jose-alvarado/17780/stats?position=P" xr:uid="{2CB335DB-15D7-4589-97D1-E9EE8A0C587F}"/>
    <hyperlink ref="C13" r:id="rId24" display="https://www.fangraphs.com/leaders/major-league?pos=all&amp;stats=pit&amp;utm_source=chatgpt.com&amp;startdate=&amp;enddate=&amp;month=0&amp;season1=2025&amp;season=2025&amp;team=26&amp;type=0&amp;qual=0" xr:uid="{8B9B3430-7064-474E-8028-349ED0028F7D}"/>
    <hyperlink ref="B14" r:id="rId25" display="https://www.fangraphs.com/players/jhoan-duran/21029/stats?position=P" xr:uid="{C9604157-780C-4509-AF3C-844A554346BD}"/>
    <hyperlink ref="C14" r:id="rId26" display="https://www.fangraphs.com/leaders/major-league?pos=all&amp;stats=pit&amp;utm_source=chatgpt.com&amp;startdate=&amp;enddate=&amp;month=0&amp;season1=2025&amp;season=2025&amp;team=26&amp;type=0&amp;qual=0" xr:uid="{9EEDBEF1-D37C-4CBC-AC06-5012AFD5A45A}"/>
    <hyperlink ref="B15" r:id="rId27" display="https://www.fangraphs.com/players/max-lazar/23426/stats?position=P" xr:uid="{71C82C11-DDFA-42A3-B2D6-35FAB1E29B64}"/>
    <hyperlink ref="C15" r:id="rId28" display="https://www.fangraphs.com/leaders/major-league?pos=all&amp;stats=pit&amp;utm_source=chatgpt.com&amp;startdate=&amp;enddate=&amp;month=0&amp;season1=2025&amp;season=2025&amp;team=26&amp;type=0&amp;qual=0" xr:uid="{7C3DAD95-AD86-4923-9780-8FD84D13B507}"/>
    <hyperlink ref="B16" r:id="rId29" display="https://www.fangraphs.com/players/carlos-hernandez/22713/stats?position=P" xr:uid="{FEC37898-D94E-4959-95D1-B5E17AE29FC9}"/>
    <hyperlink ref="C16" r:id="rId30" display="https://www.fangraphs.com/leaders/major-league?pos=all&amp;stats=pit&amp;utm_source=chatgpt.com&amp;startdate=&amp;enddate=&amp;month=0&amp;season1=2025&amp;season=2025&amp;team=26&amp;type=0&amp;qual=0" xr:uid="{6D5275F3-68FE-4FAC-826A-FBB27D7DEC9B}"/>
    <hyperlink ref="B17" r:id="rId31" display="https://www.fangraphs.com/players/david-robertson/8241/stats?position=P" xr:uid="{A5532B5F-1B0D-40CF-A725-DE19FE82D4D5}"/>
    <hyperlink ref="C17" r:id="rId32" display="https://www.fangraphs.com/leaders/major-league?pos=all&amp;stats=pit&amp;utm_source=chatgpt.com&amp;startdate=&amp;enddate=&amp;month=0&amp;season1=2025&amp;season=2025&amp;team=26&amp;type=0&amp;qual=0" xr:uid="{3E458720-E644-4EE5-9A25-AE20AEB21B62}"/>
    <hyperlink ref="B18" r:id="rId33" display="https://www.fangraphs.com/players/mick-abel/27756/stats?position=P" xr:uid="{A0E7BC8A-6C1F-404F-A215-0A606845A1EE}"/>
    <hyperlink ref="C18" r:id="rId34" display="https://www.fangraphs.com/leaders/major-league?pos=all&amp;stats=pit&amp;utm_source=chatgpt.com&amp;startdate=&amp;enddate=&amp;month=0&amp;season1=2025&amp;season=2025&amp;team=26&amp;type=0&amp;qual=0" xr:uid="{4674EE14-091B-44B3-96B6-487C4D858B87}"/>
    <hyperlink ref="B19" r:id="rId35" display="https://www.fangraphs.com/players/seth-johnson/26020/stats?position=P" xr:uid="{3D8E4434-2EB7-4888-8791-A2B55B1CC961}"/>
    <hyperlink ref="C19" r:id="rId36" display="https://www.fangraphs.com/leaders/major-league?pos=all&amp;stats=pit&amp;utm_source=chatgpt.com&amp;startdate=&amp;enddate=&amp;month=0&amp;season1=2025&amp;season=2025&amp;team=26&amp;type=0&amp;qual=0" xr:uid="{36830D2F-D8B2-4C2E-B552-7496E7273729}"/>
    <hyperlink ref="B20" r:id="rId37" display="https://www.fangraphs.com/players/daniel-robert/21229/stats?position=P" xr:uid="{644F116E-3F43-47AB-A536-93FDF7B12358}"/>
    <hyperlink ref="C20" r:id="rId38" display="https://www.fangraphs.com/leaders/major-league?pos=all&amp;stats=pit&amp;utm_source=chatgpt.com&amp;startdate=&amp;enddate=&amp;month=0&amp;season1=2025&amp;season=2025&amp;team=26&amp;type=0&amp;qual=0" xr:uid="{51039529-5574-4002-919A-CEF45DC91083}"/>
    <hyperlink ref="B21" r:id="rId39" display="https://www.fangraphs.com/players/jose-ruiz/14552/stats?position=P" xr:uid="{455DBDEC-304D-4CD2-8C0B-4BD51C2534B6}"/>
    <hyperlink ref="C21" r:id="rId40" display="https://www.fangraphs.com/leaders/major-league?pos=all&amp;stats=pit&amp;utm_source=chatgpt.com&amp;startdate=&amp;enddate=&amp;month=0&amp;season1=2025&amp;season=2025&amp;team=26&amp;type=0&amp;qual=0" xr:uid="{4F1D433C-FB2C-4130-BEE3-86810F7AAE8D}"/>
    <hyperlink ref="B22" r:id="rId41" display="https://www.fangraphs.com/players/lou-trivino/15043/stats?position=P" xr:uid="{47D43E00-1633-4DB2-9279-D3DB49811854}"/>
    <hyperlink ref="C22" r:id="rId42" display="https://www.fangraphs.com/leaders/major-league?pos=all&amp;stats=pit&amp;utm_source=chatgpt.com&amp;startdate=&amp;enddate=&amp;month=0&amp;season1=2025&amp;season=2025&amp;team=26&amp;type=0&amp;qual=0" xr:uid="{64CF7F30-1352-4058-9409-E3635E1B5AEE}"/>
    <hyperlink ref="B23" r:id="rId43" display="https://www.fangraphs.com/players/walker-buehler/19374/stats?position=P" xr:uid="{F4307213-198D-44F3-9113-D4FF0044B5FA}"/>
    <hyperlink ref="C23" r:id="rId44" display="https://www.fangraphs.com/leaders/major-league?pos=all&amp;stats=pit&amp;utm_source=chatgpt.com&amp;startdate=&amp;enddate=&amp;month=0&amp;season1=2025&amp;season=2025&amp;team=26&amp;type=0&amp;qual=0" xr:uid="{48ADF4F1-387F-4BC7-A3F7-37C458484C3E}"/>
    <hyperlink ref="B24" r:id="rId45" display="https://www.fangraphs.com/players/alan-rangel/19524/stats?position=P" xr:uid="{5EADA1A9-818A-4A46-9D1C-DFC041E10EE0}"/>
    <hyperlink ref="C24" r:id="rId46" display="https://www.fangraphs.com/leaders/major-league?pos=all&amp;stats=pit&amp;utm_source=chatgpt.com&amp;startdate=&amp;enddate=&amp;month=0&amp;season1=2025&amp;season=2025&amp;team=26&amp;type=0&amp;qual=0" xr:uid="{C727D2C0-A671-4F99-99FF-4768977633BA}"/>
    <hyperlink ref="B25" r:id="rId47" display="https://www.fangraphs.com/players/tim-mayza/15042/stats?position=P" xr:uid="{09DABF1A-45C3-4E6A-B730-D2D52A7D3E98}"/>
    <hyperlink ref="C25" r:id="rId48" display="https://www.fangraphs.com/leaders/major-league?pos=all&amp;stats=pit&amp;utm_source=chatgpt.com&amp;startdate=&amp;enddate=&amp;month=0&amp;season1=2025&amp;season=2025&amp;team=26&amp;type=0&amp;qual=0" xr:uid="{30E012A6-6643-4B86-9FA5-B15343F9793E}"/>
    <hyperlink ref="B26" r:id="rId49" display="https://www.fangraphs.com/players/michael-mercado/23223/stats?position=P" xr:uid="{392E4AFB-7DA7-4ECD-89ED-3FF71012E3D8}"/>
    <hyperlink ref="C26" r:id="rId50" display="https://www.fangraphs.com/leaders/major-league?pos=all&amp;stats=pit&amp;utm_source=chatgpt.com&amp;startdate=&amp;enddate=&amp;month=0&amp;season1=2025&amp;season=2025&amp;team=26&amp;type=0&amp;qual=0" xr:uid="{58FEDA0B-DFC5-458E-804E-FC51E88DFDD9}"/>
    <hyperlink ref="B27" r:id="rId51" display="https://www.fangraphs.com/players/nolan-hoffman/23381/stats?position=P" xr:uid="{ADFB71C8-F832-4FCE-A204-F6B20172E9E8}"/>
    <hyperlink ref="C27" r:id="rId52" display="https://www.fangraphs.com/leaders/major-league?pos=all&amp;stats=pit&amp;utm_source=chatgpt.com&amp;startdate=&amp;enddate=&amp;month=0&amp;season1=2025&amp;season=2025&amp;team=26&amp;type=0&amp;qual=0" xr:uid="{DE0E4E73-33BE-4118-951D-B7C13090AEEE}"/>
    <hyperlink ref="B28" r:id="rId53" display="https://www.fangraphs.com/players/weston-wilson/19358/stats?position=OF" xr:uid="{EE396173-A5AE-4D0E-814E-AF23E062CB44}"/>
    <hyperlink ref="C28" r:id="rId54" display="https://www.fangraphs.com/leaders/major-league?pos=all&amp;stats=pit&amp;utm_source=chatgpt.com&amp;startdate=&amp;enddate=&amp;month=0&amp;season1=2025&amp;season=2025&amp;team=26&amp;type=0&amp;qual=0" xr:uid="{5B5C44AB-6DFA-4CCD-A610-68E518795B55}"/>
    <hyperlink ref="B29" r:id="rId55" display="https://www.fangraphs.com/players/brett-de-geus/23592/stats?position=P" xr:uid="{FD831FC3-0B90-41F0-B5ED-5B76D0A34A75}"/>
    <hyperlink ref="C29" r:id="rId56" display="https://www.fangraphs.com/leaders/major-league?pos=all&amp;stats=pit&amp;utm_source=chatgpt.com&amp;startdate=&amp;enddate=&amp;month=0&amp;season1=2025&amp;season=2025&amp;team=26&amp;type=0&amp;qual=0" xr:uid="{DB6DBA0A-A9C6-4A4A-A308-399170383B40}"/>
  </hyperlinks>
  <pageMargins left="0.7" right="0.7" top="0.75" bottom="0.75" header="0.3" footer="0.3"/>
  <pageSetup orientation="portrait" r:id="rId57"/>
  <drawing r:id="rId5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946EE-8A64-4BE1-8A6E-93A726FBCB14}">
  <dimension ref="A1:C29"/>
  <sheetViews>
    <sheetView workbookViewId="0">
      <selection activeCell="G20" sqref="G20"/>
    </sheetView>
  </sheetViews>
  <sheetFormatPr defaultRowHeight="15" x14ac:dyDescent="0.25"/>
  <sheetData>
    <row r="1" spans="1:3" ht="15.75" thickBot="1" x14ac:dyDescent="0.3">
      <c r="A1" t="s">
        <v>1</v>
      </c>
      <c r="B1" t="s">
        <v>5</v>
      </c>
      <c r="C1" t="s">
        <v>58</v>
      </c>
    </row>
    <row r="2" spans="1:3" ht="15.75" thickBot="1" x14ac:dyDescent="0.3">
      <c r="A2" s="5" t="s">
        <v>26</v>
      </c>
      <c r="B2">
        <v>3.92</v>
      </c>
      <c r="C2">
        <v>1.22</v>
      </c>
    </row>
    <row r="3" spans="1:3" ht="15.75" thickBot="1" x14ac:dyDescent="0.3">
      <c r="A3" s="5" t="s">
        <v>28</v>
      </c>
      <c r="B3">
        <v>2.5</v>
      </c>
      <c r="C3">
        <v>1.06</v>
      </c>
    </row>
    <row r="4" spans="1:3" ht="15.75" thickBot="1" x14ac:dyDescent="0.3">
      <c r="A4" s="5" t="s">
        <v>29</v>
      </c>
      <c r="B4">
        <v>2.71</v>
      </c>
      <c r="C4">
        <v>0.94</v>
      </c>
    </row>
    <row r="5" spans="1:3" ht="15.75" thickBot="1" x14ac:dyDescent="0.3">
      <c r="A5" s="5" t="s">
        <v>30</v>
      </c>
      <c r="B5">
        <v>3.2</v>
      </c>
      <c r="C5">
        <v>1.22</v>
      </c>
    </row>
    <row r="6" spans="1:3" ht="15.75" thickBot="1" x14ac:dyDescent="0.3">
      <c r="A6" s="5" t="s">
        <v>31</v>
      </c>
      <c r="B6">
        <v>6.01</v>
      </c>
      <c r="C6">
        <v>1.35</v>
      </c>
    </row>
    <row r="7" spans="1:3" ht="15.75" thickBot="1" x14ac:dyDescent="0.3">
      <c r="A7" s="5" t="s">
        <v>32</v>
      </c>
      <c r="B7">
        <v>4.08</v>
      </c>
      <c r="C7">
        <v>1.41</v>
      </c>
    </row>
    <row r="8" spans="1:3" ht="15.75" thickBot="1" x14ac:dyDescent="0.3">
      <c r="A8" s="5" t="s">
        <v>33</v>
      </c>
      <c r="B8">
        <v>2.74</v>
      </c>
      <c r="C8">
        <v>1.08</v>
      </c>
    </row>
    <row r="9" spans="1:3" ht="15.75" thickBot="1" x14ac:dyDescent="0.3">
      <c r="A9" s="5" t="s">
        <v>34</v>
      </c>
      <c r="B9">
        <v>3.3</v>
      </c>
      <c r="C9">
        <v>1.37</v>
      </c>
    </row>
    <row r="10" spans="1:3" ht="15.75" thickBot="1" x14ac:dyDescent="0.3">
      <c r="A10" s="5" t="s">
        <v>35</v>
      </c>
      <c r="B10">
        <v>3.07</v>
      </c>
      <c r="C10">
        <v>1.01</v>
      </c>
    </row>
    <row r="11" spans="1:3" ht="15.75" thickBot="1" x14ac:dyDescent="0.3">
      <c r="A11" s="5" t="s">
        <v>36</v>
      </c>
      <c r="B11">
        <v>8.23</v>
      </c>
      <c r="C11">
        <v>1.47</v>
      </c>
    </row>
    <row r="12" spans="1:3" ht="15.75" thickBot="1" x14ac:dyDescent="0.3">
      <c r="A12" s="5" t="s">
        <v>37</v>
      </c>
      <c r="B12">
        <v>5.12</v>
      </c>
      <c r="C12">
        <v>1.47</v>
      </c>
    </row>
    <row r="13" spans="1:3" ht="15.75" thickBot="1" x14ac:dyDescent="0.3">
      <c r="A13" s="5" t="s">
        <v>38</v>
      </c>
      <c r="B13">
        <v>3.81</v>
      </c>
      <c r="C13">
        <v>1.31</v>
      </c>
    </row>
    <row r="14" spans="1:3" ht="15.75" thickBot="1" x14ac:dyDescent="0.3">
      <c r="A14" s="5" t="s">
        <v>39</v>
      </c>
      <c r="B14">
        <v>2.1800000000000002</v>
      </c>
      <c r="C14">
        <v>0.94</v>
      </c>
    </row>
    <row r="15" spans="1:3" ht="15.75" thickBot="1" x14ac:dyDescent="0.3">
      <c r="A15" s="5" t="s">
        <v>40</v>
      </c>
      <c r="B15">
        <v>4.79</v>
      </c>
      <c r="C15">
        <v>1.29</v>
      </c>
    </row>
    <row r="16" spans="1:3" ht="15.75" thickBot="1" x14ac:dyDescent="0.3">
      <c r="A16" s="5" t="s">
        <v>41</v>
      </c>
      <c r="B16">
        <v>5.26</v>
      </c>
      <c r="C16">
        <v>1.79</v>
      </c>
    </row>
    <row r="17" spans="1:3" ht="15.75" thickBot="1" x14ac:dyDescent="0.3">
      <c r="A17" s="5" t="s">
        <v>42</v>
      </c>
      <c r="B17">
        <v>4.08</v>
      </c>
      <c r="C17">
        <v>1.51</v>
      </c>
    </row>
    <row r="18" spans="1:3" ht="15.75" thickBot="1" x14ac:dyDescent="0.3">
      <c r="A18" s="5" t="s">
        <v>43</v>
      </c>
      <c r="B18">
        <v>5.04</v>
      </c>
      <c r="C18">
        <v>1.36</v>
      </c>
    </row>
    <row r="19" spans="1:3" ht="15.75" thickBot="1" x14ac:dyDescent="0.3">
      <c r="A19" s="5" t="s">
        <v>44</v>
      </c>
      <c r="B19">
        <v>4.26</v>
      </c>
      <c r="C19">
        <v>1.23</v>
      </c>
    </row>
    <row r="20" spans="1:3" ht="15.75" thickBot="1" x14ac:dyDescent="0.3">
      <c r="A20" s="5" t="s">
        <v>45</v>
      </c>
      <c r="B20">
        <v>4.1500000000000004</v>
      </c>
      <c r="C20">
        <v>1.62</v>
      </c>
    </row>
    <row r="21" spans="1:3" ht="15.75" thickBot="1" x14ac:dyDescent="0.3">
      <c r="A21" s="5" t="s">
        <v>46</v>
      </c>
      <c r="B21">
        <v>8.16</v>
      </c>
      <c r="C21">
        <v>1.91</v>
      </c>
    </row>
    <row r="22" spans="1:3" ht="15.75" thickBot="1" x14ac:dyDescent="0.3">
      <c r="A22" s="5" t="s">
        <v>47</v>
      </c>
      <c r="B22">
        <v>2</v>
      </c>
      <c r="C22">
        <v>1.22</v>
      </c>
    </row>
    <row r="23" spans="1:3" ht="15.75" thickBot="1" x14ac:dyDescent="0.3">
      <c r="A23" s="5" t="s">
        <v>48</v>
      </c>
      <c r="B23">
        <v>0.66</v>
      </c>
      <c r="C23">
        <v>1.21</v>
      </c>
    </row>
    <row r="24" spans="1:3" ht="15.75" thickBot="1" x14ac:dyDescent="0.3">
      <c r="A24" s="5" t="s">
        <v>49</v>
      </c>
      <c r="B24">
        <v>2.4500000000000002</v>
      </c>
      <c r="C24">
        <v>1.45</v>
      </c>
    </row>
    <row r="25" spans="1:3" ht="15.75" thickBot="1" x14ac:dyDescent="0.3">
      <c r="A25" s="5" t="s">
        <v>50</v>
      </c>
      <c r="B25">
        <v>4.91</v>
      </c>
      <c r="C25">
        <v>1.69</v>
      </c>
    </row>
    <row r="26" spans="1:3" ht="15.75" thickBot="1" x14ac:dyDescent="0.3">
      <c r="A26" s="5" t="s">
        <v>51</v>
      </c>
      <c r="B26">
        <v>15</v>
      </c>
      <c r="C26">
        <v>3.67</v>
      </c>
    </row>
    <row r="27" spans="1:3" ht="15.75" thickBot="1" x14ac:dyDescent="0.3">
      <c r="A27" s="5" t="s">
        <v>52</v>
      </c>
      <c r="B27">
        <v>27</v>
      </c>
      <c r="C27">
        <v>4</v>
      </c>
    </row>
    <row r="28" spans="1:3" ht="15.75" thickBot="1" x14ac:dyDescent="0.3">
      <c r="A28" s="5" t="s">
        <v>53</v>
      </c>
      <c r="B28">
        <v>0</v>
      </c>
      <c r="C28">
        <v>1</v>
      </c>
    </row>
    <row r="29" spans="1:3" ht="15.75" thickBot="1" x14ac:dyDescent="0.3">
      <c r="A29" s="5" t="s">
        <v>54</v>
      </c>
      <c r="B29">
        <v>4.5</v>
      </c>
      <c r="C29">
        <v>2</v>
      </c>
    </row>
  </sheetData>
  <hyperlinks>
    <hyperlink ref="A2" r:id="rId1" display="https://www.fangraphs.com/players/jesus-luzardo/19959/stats?position=P" xr:uid="{D1724E8E-68E8-42D7-9837-948D612E853A}"/>
    <hyperlink ref="A3" r:id="rId2" display="https://www.fangraphs.com/players/cristopher-sanchez/20778/stats?position=P" xr:uid="{11ED5210-107E-43E7-9FA4-1A4E15AA3582}"/>
    <hyperlink ref="A4" r:id="rId3" display="https://www.fangraphs.com/players/zack-wheeler/10310/stats?position=P" xr:uid="{4F9EA942-CC9E-41E7-A5A5-B9A4BF3A71AD}"/>
    <hyperlink ref="A5" r:id="rId4" display="https://www.fangraphs.com/players/ranger-suarez/17277/stats?position=P" xr:uid="{D1C58373-5EB7-4581-A62A-BF93E94BFCF4}"/>
    <hyperlink ref="A6" r:id="rId5" display="https://www.fangraphs.com/players/aaron-nola/16149/stats?position=P" xr:uid="{CAE5DC08-9D6E-4900-AE54-8D0384C96F6B}"/>
    <hyperlink ref="A7" r:id="rId6" display="https://www.fangraphs.com/players/taijuan-walker/11836/stats?position=P" xr:uid="{B7BDE07F-7A0B-46D4-AE9C-97440069DF59}"/>
    <hyperlink ref="A8" r:id="rId7" display="https://www.fangraphs.com/players/matt-strahm/13799/stats?position=P" xr:uid="{CED64587-EA98-457B-8171-5B270472AE3B}"/>
    <hyperlink ref="A9" r:id="rId8" display="https://www.fangraphs.com/players/orion-kerkering/31776/stats?position=P" xr:uid="{D61470A3-ACA5-416B-9B80-E5ECF54D6BE5}"/>
    <hyperlink ref="A10" r:id="rId9" display="https://www.fangraphs.com/players/tanner-banks/16990/stats?position=P" xr:uid="{2AEE0B20-6262-475E-86CD-7A8EE691CC5F}"/>
    <hyperlink ref="A11" r:id="rId10" display="https://www.fangraphs.com/players/jordan-romano/16122/stats?position=P" xr:uid="{7A0E16B9-FE1B-4F86-82B0-1344D939839F}"/>
    <hyperlink ref="A12" r:id="rId11" display="https://www.fangraphs.com/players/joe-ross/12972/stats?position=P" xr:uid="{A050369D-D555-40F2-B91D-9A022A785903}"/>
    <hyperlink ref="A13" r:id="rId12" display="https://www.fangraphs.com/players/jose-alvarado/17780/stats?position=P" xr:uid="{28B2B80C-9BD1-45D3-A56B-01FDF2B69FE7}"/>
    <hyperlink ref="A14" r:id="rId13" display="https://www.fangraphs.com/players/jhoan-duran/21029/stats?position=P" xr:uid="{4D021486-C717-47D6-AC12-7D26F49468C0}"/>
    <hyperlink ref="A15" r:id="rId14" display="https://www.fangraphs.com/players/max-lazar/23426/stats?position=P" xr:uid="{B8A939E7-B0B1-4E77-B94D-79B573F884FF}"/>
    <hyperlink ref="A16" r:id="rId15" display="https://www.fangraphs.com/players/carlos-hernandez/22713/stats?position=P" xr:uid="{72B409AC-8419-421C-AA4F-55C1B9E51D71}"/>
    <hyperlink ref="A17" r:id="rId16" display="https://www.fangraphs.com/players/david-robertson/8241/stats?position=P" xr:uid="{B6F126BD-8C56-433E-858D-48935688C3BA}"/>
    <hyperlink ref="A18" r:id="rId17" display="https://www.fangraphs.com/players/mick-abel/27756/stats?position=P" xr:uid="{CCC0E8CF-8930-4573-B559-4C271008D93E}"/>
    <hyperlink ref="A19" r:id="rId18" display="https://www.fangraphs.com/players/seth-johnson/26020/stats?position=P" xr:uid="{DB601665-1F3F-48D0-A339-C140BD4BC6EC}"/>
    <hyperlink ref="A20" r:id="rId19" display="https://www.fangraphs.com/players/daniel-robert/21229/stats?position=P" xr:uid="{526548FE-01D1-4EF4-A0AE-D05577EA0320}"/>
    <hyperlink ref="A21" r:id="rId20" display="https://www.fangraphs.com/players/jose-ruiz/14552/stats?position=P" xr:uid="{540CFA9A-0E94-424C-8437-293363D17E7D}"/>
    <hyperlink ref="A22" r:id="rId21" display="https://www.fangraphs.com/players/lou-trivino/15043/stats?position=P" xr:uid="{34F303AC-43D2-4052-9168-10579CEA529B}"/>
    <hyperlink ref="A23" r:id="rId22" display="https://www.fangraphs.com/players/walker-buehler/19374/stats?position=P" xr:uid="{0E0308A9-18A7-4C45-A4AA-6F41D68C693A}"/>
    <hyperlink ref="A24" r:id="rId23" display="https://www.fangraphs.com/players/alan-rangel/19524/stats?position=P" xr:uid="{BAA24136-F29F-4DBB-B09C-44E6E6B37B1A}"/>
    <hyperlink ref="A25" r:id="rId24" display="https://www.fangraphs.com/players/tim-mayza/15042/stats?position=P" xr:uid="{9E3C4265-24C8-4535-9192-FE1C9DD038A3}"/>
    <hyperlink ref="A26" r:id="rId25" display="https://www.fangraphs.com/players/michael-mercado/23223/stats?position=P" xr:uid="{CCC5F700-D6C9-4507-9541-5A024736D531}"/>
    <hyperlink ref="A27" r:id="rId26" display="https://www.fangraphs.com/players/nolan-hoffman/23381/stats?position=P" xr:uid="{027A02F2-43C0-4ECB-98F1-43222F21044D}"/>
    <hyperlink ref="A28" r:id="rId27" display="https://www.fangraphs.com/players/weston-wilson/19358/stats?position=OF" xr:uid="{86C00A69-7EE6-4B43-B62C-D8B064C2BED1}"/>
    <hyperlink ref="A29" r:id="rId28" display="https://www.fangraphs.com/players/brett-de-geus/23592/stats?position=P" xr:uid="{88352DC5-B9BB-4A97-9C04-E229EEE0837B}"/>
  </hyperlinks>
  <pageMargins left="0.7" right="0.7" top="0.75" bottom="0.75" header="0.3" footer="0.3"/>
  <drawing r:id="rId2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devin fletcher</dc:creator>
  <cp:lastModifiedBy>devin fletcher</cp:lastModifiedBy>
  <dcterms:created xsi:type="dcterms:W3CDTF">2026-05-20T16:03:06Z</dcterms:created>
  <dcterms:modified xsi:type="dcterms:W3CDTF">2026-05-20T18:32:00Z</dcterms:modified>
</cp:coreProperties>
</file>